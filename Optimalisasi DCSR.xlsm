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blights\"/>
    </mc:Choice>
  </mc:AlternateContent>
  <bookViews>
    <workbookView xWindow="-120" yWindow="-120" windowWidth="21840" windowHeight="13140"/>
  </bookViews>
  <sheets>
    <sheet name="SUMMARY" sheetId="2" r:id="rId1"/>
    <sheet name="CIVIL" sheetId="1" r:id="rId2"/>
    <sheet name="MECHANICAL" sheetId="6" r:id="rId3"/>
  </sheets>
  <definedNames>
    <definedName name="_26071_V29A_D_320_07_10002" localSheetId="2">MECHANICAL!$A$16:$A$21</definedName>
    <definedName name="_26071_V29A_D_320_07_10002">CIVIL!$A$16:$A$21</definedName>
    <definedName name="_xlnm._FilterDatabase" localSheetId="1" hidden="1">CIVIL!$AA$15:$AA$100</definedName>
    <definedName name="_xlnm._FilterDatabase" localSheetId="2" hidden="1">MECHANICAL!$AA$15:$AA$99</definedName>
    <definedName name="DOCUMENT_NO" localSheetId="2">MECHANICAL!$G$15:$G$28</definedName>
    <definedName name="DOCUMENT_NO">CIVIL!$G$15:$G$28</definedName>
    <definedName name="_xlnm.Print_Area" localSheetId="1">CIVIL!$F$1:$N$41</definedName>
    <definedName name="_xlnm.Print_Area" localSheetId="2">MECHANICAL!$F$1:$N$41</definedName>
    <definedName name="Z_963E3191_FB22_40E6_9422_208BCC38D244_.wvu.FilterData" localSheetId="1" hidden="1">CIVIL!$A$14:$AN$42</definedName>
    <definedName name="Z_963E3191_FB22_40E6_9422_208BCC38D244_.wvu.FilterData" localSheetId="2" hidden="1">MECHANICAL!$A$14:$AN$42</definedName>
    <definedName name="Z_963E3191_FB22_40E6_9422_208BCC38D244_.wvu.PrintArea" localSheetId="1" hidden="1">CIVIL!$F$1:$P$41</definedName>
    <definedName name="Z_963E3191_FB22_40E6_9422_208BCC38D244_.wvu.PrintArea" localSheetId="2" hidden="1">MECHANICAL!$F$1:$P$41</definedName>
  </definedNames>
  <calcPr calcId="152511"/>
  <pivotCaches>
    <pivotCache cacheId="0" r:id="rId4"/>
    <pivotCache cacheId="1" r:id="rId5"/>
    <pivotCache cacheId="2" r:id="rId6"/>
    <pivotCache cacheId="3"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N18" i="1" l="1"/>
  <c r="P18" i="1"/>
  <c r="R18" i="1"/>
  <c r="T18" i="1"/>
  <c r="V18" i="1"/>
  <c r="M22" i="1"/>
  <c r="O22" i="1"/>
  <c r="Q22" i="1"/>
  <c r="S22" i="1"/>
  <c r="M29" i="1"/>
  <c r="B16" i="1" l="1"/>
  <c r="V99" i="6"/>
  <c r="T99" i="6"/>
  <c r="AA97" i="6" s="1"/>
  <c r="S99" i="6"/>
  <c r="Q99" i="6"/>
  <c r="O99" i="6"/>
  <c r="M99" i="6"/>
  <c r="K99" i="6"/>
  <c r="E97" i="6"/>
  <c r="E96" i="6"/>
  <c r="R99" i="6" s="1"/>
  <c r="AA96" i="6" s="1"/>
  <c r="V95" i="6"/>
  <c r="T95" i="6"/>
  <c r="R95" i="6"/>
  <c r="P95" i="6"/>
  <c r="N95" i="6"/>
  <c r="L95" i="6"/>
  <c r="E95" i="6"/>
  <c r="P99" i="6" s="1"/>
  <c r="AA95" i="6" s="1"/>
  <c r="E94" i="6"/>
  <c r="N99" i="6" s="1"/>
  <c r="AA94" i="6" s="1"/>
  <c r="E93" i="6"/>
  <c r="L99" i="6" s="1"/>
  <c r="AA93" i="6" s="1"/>
  <c r="B93" i="6"/>
  <c r="B94" i="6" s="1"/>
  <c r="B95" i="6" s="1"/>
  <c r="B96" i="6" s="1"/>
  <c r="B97" i="6" s="1"/>
  <c r="B98" i="6" s="1"/>
  <c r="A93" i="6"/>
  <c r="A94" i="6" s="1"/>
  <c r="A95" i="6" s="1"/>
  <c r="A96" i="6" s="1"/>
  <c r="A97" i="6" s="1"/>
  <c r="A98" i="6" s="1"/>
  <c r="V92" i="6"/>
  <c r="T92" i="6"/>
  <c r="AA90" i="6" s="1"/>
  <c r="S92" i="6"/>
  <c r="Q92" i="6"/>
  <c r="O92" i="6"/>
  <c r="M92" i="6"/>
  <c r="K92" i="6"/>
  <c r="E90" i="6"/>
  <c r="E89" i="6"/>
  <c r="R92" i="6" s="1"/>
  <c r="AA89" i="6" s="1"/>
  <c r="V88" i="6"/>
  <c r="T88" i="6"/>
  <c r="R88" i="6"/>
  <c r="P88" i="6"/>
  <c r="N88" i="6"/>
  <c r="L88" i="6"/>
  <c r="E88" i="6"/>
  <c r="P92" i="6" s="1"/>
  <c r="AA88" i="6" s="1"/>
  <c r="E87" i="6"/>
  <c r="N92" i="6" s="1"/>
  <c r="AA87" i="6" s="1"/>
  <c r="E86" i="6"/>
  <c r="L92" i="6" s="1"/>
  <c r="AA86" i="6" s="1"/>
  <c r="B86" i="6"/>
  <c r="B87" i="6" s="1"/>
  <c r="B88" i="6" s="1"/>
  <c r="B89" i="6" s="1"/>
  <c r="B90" i="6" s="1"/>
  <c r="B91" i="6" s="1"/>
  <c r="A86" i="6"/>
  <c r="A87" i="6" s="1"/>
  <c r="A88" i="6" s="1"/>
  <c r="A89" i="6" s="1"/>
  <c r="A90" i="6" s="1"/>
  <c r="A91" i="6" s="1"/>
  <c r="V85" i="6"/>
  <c r="T85" i="6"/>
  <c r="AA83" i="6" s="1"/>
  <c r="S85" i="6"/>
  <c r="Q85" i="6"/>
  <c r="O85" i="6"/>
  <c r="M85" i="6"/>
  <c r="K85" i="6"/>
  <c r="E83" i="6"/>
  <c r="E82" i="6"/>
  <c r="R85" i="6" s="1"/>
  <c r="AA82" i="6" s="1"/>
  <c r="V81" i="6"/>
  <c r="T81" i="6"/>
  <c r="R81" i="6"/>
  <c r="P81" i="6"/>
  <c r="N81" i="6"/>
  <c r="L81" i="6"/>
  <c r="E81" i="6"/>
  <c r="P85" i="6" s="1"/>
  <c r="AA81" i="6" s="1"/>
  <c r="E80" i="6"/>
  <c r="N85" i="6" s="1"/>
  <c r="AA80" i="6" s="1"/>
  <c r="E79" i="6"/>
  <c r="L85" i="6" s="1"/>
  <c r="AA79" i="6" s="1"/>
  <c r="B79" i="6"/>
  <c r="B80" i="6" s="1"/>
  <c r="B81" i="6" s="1"/>
  <c r="B82" i="6" s="1"/>
  <c r="B83" i="6" s="1"/>
  <c r="B84" i="6" s="1"/>
  <c r="A79" i="6"/>
  <c r="A80" i="6" s="1"/>
  <c r="A81" i="6" s="1"/>
  <c r="A82" i="6" s="1"/>
  <c r="A83" i="6" s="1"/>
  <c r="A84" i="6" s="1"/>
  <c r="V78" i="6"/>
  <c r="T78" i="6"/>
  <c r="AA76" i="6" s="1"/>
  <c r="S78" i="6"/>
  <c r="Q78" i="6"/>
  <c r="O78" i="6"/>
  <c r="M78" i="6"/>
  <c r="K78" i="6"/>
  <c r="E76" i="6"/>
  <c r="E75" i="6"/>
  <c r="R78" i="6" s="1"/>
  <c r="AA75" i="6" s="1"/>
  <c r="V74" i="6"/>
  <c r="T74" i="6"/>
  <c r="R74" i="6"/>
  <c r="P74" i="6"/>
  <c r="N74" i="6"/>
  <c r="L74" i="6"/>
  <c r="E74" i="6"/>
  <c r="P78" i="6" s="1"/>
  <c r="AA74" i="6" s="1"/>
  <c r="E73" i="6"/>
  <c r="N78" i="6" s="1"/>
  <c r="AA73" i="6" s="1"/>
  <c r="E72" i="6"/>
  <c r="L78" i="6" s="1"/>
  <c r="AA72" i="6" s="1"/>
  <c r="B72" i="6"/>
  <c r="B73" i="6" s="1"/>
  <c r="B74" i="6" s="1"/>
  <c r="B75" i="6" s="1"/>
  <c r="B76" i="6" s="1"/>
  <c r="B77" i="6" s="1"/>
  <c r="A72" i="6"/>
  <c r="A73" i="6" s="1"/>
  <c r="A74" i="6" s="1"/>
  <c r="A75" i="6" s="1"/>
  <c r="A76" i="6" s="1"/>
  <c r="A77" i="6" s="1"/>
  <c r="V71" i="6"/>
  <c r="T71" i="6"/>
  <c r="AA69" i="6" s="1"/>
  <c r="S71" i="6"/>
  <c r="Q71" i="6"/>
  <c r="O71" i="6"/>
  <c r="M71" i="6"/>
  <c r="K71" i="6"/>
  <c r="E69" i="6"/>
  <c r="E68" i="6"/>
  <c r="R71" i="6" s="1"/>
  <c r="AA68" i="6" s="1"/>
  <c r="V67" i="6"/>
  <c r="T67" i="6"/>
  <c r="R67" i="6"/>
  <c r="P67" i="6"/>
  <c r="N67" i="6"/>
  <c r="L67" i="6"/>
  <c r="E67" i="6"/>
  <c r="P71" i="6" s="1"/>
  <c r="AA67" i="6" s="1"/>
  <c r="E66" i="6"/>
  <c r="N71" i="6" s="1"/>
  <c r="AA66" i="6" s="1"/>
  <c r="E65" i="6"/>
  <c r="L71" i="6" s="1"/>
  <c r="AA65" i="6" s="1"/>
  <c r="B65" i="6"/>
  <c r="B66" i="6" s="1"/>
  <c r="B67" i="6" s="1"/>
  <c r="B68" i="6" s="1"/>
  <c r="B69" i="6" s="1"/>
  <c r="B70" i="6" s="1"/>
  <c r="A65" i="6"/>
  <c r="A66" i="6" s="1"/>
  <c r="A67" i="6" s="1"/>
  <c r="A68" i="6" s="1"/>
  <c r="A69" i="6" s="1"/>
  <c r="A70" i="6" s="1"/>
  <c r="V64" i="6"/>
  <c r="T64" i="6"/>
  <c r="AA62" i="6" s="1"/>
  <c r="S64" i="6"/>
  <c r="Q64" i="6"/>
  <c r="O64" i="6"/>
  <c r="M64" i="6"/>
  <c r="K64" i="6"/>
  <c r="E62" i="6"/>
  <c r="E61" i="6"/>
  <c r="R64" i="6" s="1"/>
  <c r="AA61" i="6" s="1"/>
  <c r="V60" i="6"/>
  <c r="T60" i="6"/>
  <c r="R60" i="6"/>
  <c r="P60" i="6"/>
  <c r="N60" i="6"/>
  <c r="L60" i="6"/>
  <c r="E60" i="6"/>
  <c r="P64" i="6" s="1"/>
  <c r="AA60" i="6" s="1"/>
  <c r="E59" i="6"/>
  <c r="N64" i="6" s="1"/>
  <c r="AA59" i="6" s="1"/>
  <c r="E58" i="6"/>
  <c r="L64" i="6" s="1"/>
  <c r="AA58" i="6" s="1"/>
  <c r="B58" i="6"/>
  <c r="B59" i="6" s="1"/>
  <c r="B60" i="6" s="1"/>
  <c r="B61" i="6" s="1"/>
  <c r="B62" i="6" s="1"/>
  <c r="B63" i="6" s="1"/>
  <c r="A58" i="6"/>
  <c r="A59" i="6" s="1"/>
  <c r="A60" i="6" s="1"/>
  <c r="A61" i="6" s="1"/>
  <c r="A62" i="6" s="1"/>
  <c r="A63" i="6" s="1"/>
  <c r="V57" i="6"/>
  <c r="T57" i="6"/>
  <c r="AA55" i="6" s="1"/>
  <c r="S57" i="6"/>
  <c r="Q57" i="6"/>
  <c r="O57" i="6"/>
  <c r="M57" i="6"/>
  <c r="K57" i="6"/>
  <c r="E55" i="6"/>
  <c r="E54" i="6"/>
  <c r="R57" i="6" s="1"/>
  <c r="AA54" i="6" s="1"/>
  <c r="V53" i="6"/>
  <c r="T53" i="6"/>
  <c r="R53" i="6"/>
  <c r="P53" i="6"/>
  <c r="N53" i="6"/>
  <c r="L53" i="6"/>
  <c r="E53" i="6"/>
  <c r="P57" i="6" s="1"/>
  <c r="AA53" i="6" s="1"/>
  <c r="E52" i="6"/>
  <c r="N57" i="6" s="1"/>
  <c r="AA52" i="6" s="1"/>
  <c r="E51" i="6"/>
  <c r="L57" i="6" s="1"/>
  <c r="AA51" i="6" s="1"/>
  <c r="B51" i="6"/>
  <c r="B52" i="6" s="1"/>
  <c r="B53" i="6" s="1"/>
  <c r="B54" i="6" s="1"/>
  <c r="B55" i="6" s="1"/>
  <c r="B56" i="6" s="1"/>
  <c r="A51" i="6"/>
  <c r="A52" i="6" s="1"/>
  <c r="A53" i="6" s="1"/>
  <c r="A54" i="6" s="1"/>
  <c r="A55" i="6" s="1"/>
  <c r="A56" i="6" s="1"/>
  <c r="V50" i="6"/>
  <c r="T50" i="6"/>
  <c r="AA48" i="6" s="1"/>
  <c r="S50" i="6"/>
  <c r="Q50" i="6"/>
  <c r="O50" i="6"/>
  <c r="M50" i="6"/>
  <c r="K50" i="6"/>
  <c r="E48" i="6"/>
  <c r="E47" i="6"/>
  <c r="R50" i="6" s="1"/>
  <c r="AA47" i="6" s="1"/>
  <c r="V46" i="6"/>
  <c r="T46" i="6"/>
  <c r="C44" i="6"/>
  <c r="L46" i="6" s="1"/>
  <c r="B44" i="6"/>
  <c r="B45" i="6" s="1"/>
  <c r="B46" i="6" s="1"/>
  <c r="B47" i="6" s="1"/>
  <c r="B48" i="6" s="1"/>
  <c r="B49" i="6" s="1"/>
  <c r="A44" i="6"/>
  <c r="A45" i="6" s="1"/>
  <c r="A46" i="6" s="1"/>
  <c r="A47" i="6" s="1"/>
  <c r="A48" i="6" s="1"/>
  <c r="A49" i="6" s="1"/>
  <c r="V43" i="6"/>
  <c r="T43" i="6"/>
  <c r="AA41" i="6" s="1"/>
  <c r="S43" i="6"/>
  <c r="Q43" i="6"/>
  <c r="O43" i="6"/>
  <c r="M43" i="6"/>
  <c r="K43" i="6"/>
  <c r="E41" i="6"/>
  <c r="E40" i="6"/>
  <c r="R43" i="6" s="1"/>
  <c r="AA40" i="6" s="1"/>
  <c r="V39" i="6"/>
  <c r="T39" i="6"/>
  <c r="R39" i="6"/>
  <c r="C37" i="6"/>
  <c r="L39" i="6" s="1"/>
  <c r="B37" i="6"/>
  <c r="B38" i="6" s="1"/>
  <c r="B39" i="6" s="1"/>
  <c r="B40" i="6" s="1"/>
  <c r="B41" i="6" s="1"/>
  <c r="B42" i="6" s="1"/>
  <c r="A37" i="6"/>
  <c r="A38" i="6" s="1"/>
  <c r="A39" i="6" s="1"/>
  <c r="A40" i="6" s="1"/>
  <c r="A41" i="6" s="1"/>
  <c r="A42" i="6" s="1"/>
  <c r="V36" i="6"/>
  <c r="T36" i="6"/>
  <c r="AA34" i="6" s="1"/>
  <c r="S36" i="6"/>
  <c r="Q36" i="6"/>
  <c r="O36" i="6"/>
  <c r="M36" i="6"/>
  <c r="K36" i="6"/>
  <c r="E34" i="6"/>
  <c r="E33" i="6"/>
  <c r="R36" i="6" s="1"/>
  <c r="AA33" i="6" s="1"/>
  <c r="V32" i="6"/>
  <c r="T32" i="6"/>
  <c r="R32" i="6"/>
  <c r="P32" i="6"/>
  <c r="E32" i="6"/>
  <c r="P36" i="6" s="1"/>
  <c r="AA32" i="6" s="1"/>
  <c r="C30" i="6"/>
  <c r="L32" i="6" s="1"/>
  <c r="B30" i="6"/>
  <c r="B31" i="6" s="1"/>
  <c r="B32" i="6" s="1"/>
  <c r="B33" i="6" s="1"/>
  <c r="B34" i="6" s="1"/>
  <c r="B35" i="6" s="1"/>
  <c r="A30" i="6"/>
  <c r="A31" i="6" s="1"/>
  <c r="A32" i="6" s="1"/>
  <c r="A33" i="6" s="1"/>
  <c r="A34" i="6" s="1"/>
  <c r="A35" i="6" s="1"/>
  <c r="V29" i="6"/>
  <c r="T29" i="6"/>
  <c r="AA27" i="6" s="1"/>
  <c r="S29" i="6"/>
  <c r="Q29" i="6"/>
  <c r="O29" i="6"/>
  <c r="M29" i="6"/>
  <c r="K29" i="6"/>
  <c r="E27" i="6"/>
  <c r="E26" i="6"/>
  <c r="R29" i="6" s="1"/>
  <c r="AA26" i="6" s="1"/>
  <c r="V25" i="6"/>
  <c r="T25" i="6"/>
  <c r="R25" i="6"/>
  <c r="P25" i="6"/>
  <c r="E25" i="6"/>
  <c r="P29" i="6" s="1"/>
  <c r="AA25" i="6" s="1"/>
  <c r="C23" i="6"/>
  <c r="L25" i="6" s="1"/>
  <c r="B23" i="6"/>
  <c r="B24" i="6" s="1"/>
  <c r="B25" i="6" s="1"/>
  <c r="B26" i="6" s="1"/>
  <c r="B27" i="6" s="1"/>
  <c r="B28" i="6" s="1"/>
  <c r="A23" i="6"/>
  <c r="A24" i="6" s="1"/>
  <c r="A25" i="6" s="1"/>
  <c r="A26" i="6" s="1"/>
  <c r="A27" i="6" s="1"/>
  <c r="A28" i="6" s="1"/>
  <c r="V22" i="6"/>
  <c r="T22" i="6"/>
  <c r="AA20" i="6" s="1"/>
  <c r="S22" i="6"/>
  <c r="Q22" i="6"/>
  <c r="O22" i="6"/>
  <c r="M22" i="6"/>
  <c r="K22" i="6"/>
  <c r="L7" i="6" s="1"/>
  <c r="E20" i="6"/>
  <c r="E19" i="6"/>
  <c r="R22" i="6" s="1"/>
  <c r="AA19" i="6" s="1"/>
  <c r="V18" i="6"/>
  <c r="T18" i="6"/>
  <c r="R18" i="6"/>
  <c r="P18" i="6"/>
  <c r="E18" i="6"/>
  <c r="P22" i="6" s="1"/>
  <c r="AA18" i="6" s="1"/>
  <c r="C16" i="6"/>
  <c r="L18" i="6" s="1"/>
  <c r="B16" i="6"/>
  <c r="B17" i="6" s="1"/>
  <c r="B18" i="6" s="1"/>
  <c r="B19" i="6" s="1"/>
  <c r="B20" i="6" s="1"/>
  <c r="B21" i="6" s="1"/>
  <c r="A16" i="6"/>
  <c r="A17" i="6" s="1"/>
  <c r="A18" i="6" s="1"/>
  <c r="A19" i="6" s="1"/>
  <c r="A20" i="6" s="1"/>
  <c r="A21" i="6" s="1"/>
  <c r="W10" i="6"/>
  <c r="H6" i="6"/>
  <c r="H5" i="6"/>
  <c r="C98" i="6" l="1"/>
  <c r="D23" i="6"/>
  <c r="D51" i="6"/>
  <c r="D79" i="6"/>
  <c r="D37" i="6"/>
  <c r="D93" i="6"/>
  <c r="D72" i="6"/>
  <c r="D30" i="6"/>
  <c r="D58" i="6"/>
  <c r="D86" i="6"/>
  <c r="D65" i="6"/>
  <c r="D44" i="6"/>
  <c r="E46" i="6"/>
  <c r="P50" i="6" s="1"/>
  <c r="AA46" i="6" s="1"/>
  <c r="E45" i="6"/>
  <c r="N50" i="6" s="1"/>
  <c r="AA45" i="6" s="1"/>
  <c r="E39" i="6"/>
  <c r="P43" i="6" s="1"/>
  <c r="AA39" i="6" s="1"/>
  <c r="E38" i="6"/>
  <c r="N43" i="6" s="1"/>
  <c r="AA38" i="6" s="1"/>
  <c r="E31" i="6"/>
  <c r="N36" i="6" s="1"/>
  <c r="AA31" i="6" s="1"/>
  <c r="E24" i="6"/>
  <c r="N29" i="6" s="1"/>
  <c r="AA24" i="6" s="1"/>
  <c r="E16" i="6"/>
  <c r="C17" i="6"/>
  <c r="N18" i="6" s="1"/>
  <c r="C31" i="6"/>
  <c r="N32" i="6" s="1"/>
  <c r="C60" i="6"/>
  <c r="C59" i="6"/>
  <c r="C65" i="6"/>
  <c r="C20" i="6"/>
  <c r="E23" i="6"/>
  <c r="L29" i="6" s="1"/>
  <c r="AA23" i="6" s="1"/>
  <c r="C47" i="6"/>
  <c r="R46" i="6" s="1"/>
  <c r="C49" i="6"/>
  <c r="C76" i="6"/>
  <c r="C88" i="6"/>
  <c r="C32" i="6"/>
  <c r="C19" i="6"/>
  <c r="C21" i="6"/>
  <c r="C48" i="6"/>
  <c r="C75" i="6"/>
  <c r="C77" i="6"/>
  <c r="C87" i="6"/>
  <c r="C93" i="6"/>
  <c r="C28" i="6"/>
  <c r="E30" i="6"/>
  <c r="L36" i="6" s="1"/>
  <c r="AA30" i="6" s="1"/>
  <c r="C38" i="6"/>
  <c r="N39" i="6" s="1"/>
  <c r="C39" i="6"/>
  <c r="P39" i="6" s="1"/>
  <c r="C54" i="6"/>
  <c r="C55" i="6"/>
  <c r="C56" i="6"/>
  <c r="C66" i="6"/>
  <c r="C67" i="6"/>
  <c r="C72" i="6"/>
  <c r="C82" i="6"/>
  <c r="C83" i="6"/>
  <c r="C84" i="6"/>
  <c r="C94" i="6"/>
  <c r="C95" i="6"/>
  <c r="D16" i="6"/>
  <c r="C18" i="6"/>
  <c r="C33" i="6"/>
  <c r="C34" i="6"/>
  <c r="C35" i="6"/>
  <c r="E37" i="6"/>
  <c r="L43" i="6" s="1"/>
  <c r="AA37" i="6" s="1"/>
  <c r="C45" i="6"/>
  <c r="N46" i="6" s="1"/>
  <c r="C46" i="6"/>
  <c r="P46" i="6" s="1"/>
  <c r="C51" i="6"/>
  <c r="C61" i="6"/>
  <c r="C62" i="6"/>
  <c r="C63" i="6"/>
  <c r="C73" i="6"/>
  <c r="C74" i="6"/>
  <c r="C79" i="6"/>
  <c r="C89" i="6"/>
  <c r="C90" i="6"/>
  <c r="C91" i="6"/>
  <c r="C26" i="6"/>
  <c r="C27" i="6"/>
  <c r="E17" i="6"/>
  <c r="N22" i="6" s="1"/>
  <c r="AA17" i="6" s="1"/>
  <c r="C24" i="6"/>
  <c r="N25" i="6" s="1"/>
  <c r="C25" i="6"/>
  <c r="C40" i="6"/>
  <c r="C41" i="6"/>
  <c r="C42" i="6"/>
  <c r="E44" i="6"/>
  <c r="L50" i="6" s="1"/>
  <c r="AA44" i="6" s="1"/>
  <c r="C52" i="6"/>
  <c r="C53" i="6"/>
  <c r="C58" i="6"/>
  <c r="C68" i="6"/>
  <c r="C69" i="6"/>
  <c r="C70" i="6"/>
  <c r="C80" i="6"/>
  <c r="C81" i="6"/>
  <c r="C86" i="6"/>
  <c r="C96" i="6"/>
  <c r="C97" i="6"/>
  <c r="L22" i="6" l="1"/>
  <c r="W80" i="6"/>
  <c r="Z80" i="6"/>
  <c r="X80" i="6"/>
  <c r="Y80" i="6"/>
  <c r="W66" i="6"/>
  <c r="Z66" i="6"/>
  <c r="X66" i="6"/>
  <c r="Y66" i="6"/>
  <c r="W73" i="6"/>
  <c r="Y73" i="6"/>
  <c r="X73" i="6"/>
  <c r="Z73" i="6"/>
  <c r="W52" i="6"/>
  <c r="Y52" i="6"/>
  <c r="X52" i="6"/>
  <c r="Z52" i="6"/>
  <c r="W45" i="6"/>
  <c r="Z45" i="6"/>
  <c r="X45" i="6"/>
  <c r="Y45" i="6"/>
  <c r="W94" i="6"/>
  <c r="Z94" i="6"/>
  <c r="X94" i="6"/>
  <c r="Y94" i="6"/>
  <c r="W24" i="6"/>
  <c r="X24" i="6"/>
  <c r="Y24" i="6"/>
  <c r="Z24" i="6"/>
  <c r="W31" i="6"/>
  <c r="Y31" i="6"/>
  <c r="Z31" i="6"/>
  <c r="X31" i="6"/>
  <c r="W87" i="6"/>
  <c r="Y87" i="6"/>
  <c r="X87" i="6"/>
  <c r="Z87" i="6"/>
  <c r="W59" i="6"/>
  <c r="Y59" i="6"/>
  <c r="Z59" i="6"/>
  <c r="X59" i="6"/>
  <c r="W38" i="6"/>
  <c r="Y38" i="6"/>
  <c r="X38" i="6"/>
  <c r="Z38" i="6"/>
  <c r="L100" i="6"/>
  <c r="A12" i="6"/>
  <c r="G9" i="2" s="1"/>
  <c r="X17" i="6"/>
  <c r="W17" i="6"/>
  <c r="Z17" i="6"/>
  <c r="Y17" i="6"/>
  <c r="AA16" i="6" l="1"/>
  <c r="AA100" i="6" s="1"/>
  <c r="H9" i="2" s="1"/>
  <c r="W100" i="6"/>
  <c r="C9" i="2" s="1"/>
  <c r="X100" i="6"/>
  <c r="D9" i="2" s="1"/>
  <c r="Y100" i="6"/>
  <c r="E9" i="2" s="1"/>
  <c r="Z100" i="6"/>
  <c r="F9" i="2" s="1"/>
  <c r="A23" i="1"/>
  <c r="A24" i="1" s="1"/>
  <c r="A25" i="1" s="1"/>
  <c r="A26" i="1" s="1"/>
  <c r="A27" i="1" s="1"/>
  <c r="A28" i="1" s="1"/>
  <c r="B23" i="1"/>
  <c r="B24" i="1" s="1"/>
  <c r="B25" i="1" s="1"/>
  <c r="B26" i="1" s="1"/>
  <c r="B27" i="1" s="1"/>
  <c r="B28" i="1" s="1"/>
  <c r="C23" i="1"/>
  <c r="A30" i="1"/>
  <c r="A31" i="1" s="1"/>
  <c r="A32" i="1" s="1"/>
  <c r="A33" i="1" s="1"/>
  <c r="A34" i="1" s="1"/>
  <c r="A35" i="1" s="1"/>
  <c r="B30" i="1"/>
  <c r="B31" i="1" s="1"/>
  <c r="B32" i="1" s="1"/>
  <c r="B33" i="1" s="1"/>
  <c r="B34" i="1" s="1"/>
  <c r="B35" i="1" s="1"/>
  <c r="C30" i="1"/>
  <c r="L32" i="1" s="1"/>
  <c r="A37" i="1"/>
  <c r="A38" i="1" s="1"/>
  <c r="A39" i="1" s="1"/>
  <c r="A40" i="1" s="1"/>
  <c r="A41" i="1" s="1"/>
  <c r="A42" i="1" s="1"/>
  <c r="B37" i="1"/>
  <c r="B38" i="1" s="1"/>
  <c r="B39" i="1" s="1"/>
  <c r="B40" i="1" s="1"/>
  <c r="B41" i="1" s="1"/>
  <c r="B42" i="1" s="1"/>
  <c r="C37" i="1"/>
  <c r="L39" i="1" s="1"/>
  <c r="A44" i="1"/>
  <c r="A45" i="1" s="1"/>
  <c r="A46" i="1" s="1"/>
  <c r="A47" i="1" s="1"/>
  <c r="A48" i="1" s="1"/>
  <c r="A49" i="1" s="1"/>
  <c r="B44" i="1"/>
  <c r="B45" i="1" s="1"/>
  <c r="B46" i="1" s="1"/>
  <c r="B47" i="1" s="1"/>
  <c r="B48" i="1" s="1"/>
  <c r="B49" i="1" s="1"/>
  <c r="C44" i="1"/>
  <c r="L46" i="1" s="1"/>
  <c r="E45" i="1"/>
  <c r="N50" i="1" s="1"/>
  <c r="AA45" i="1" s="1"/>
  <c r="E47" i="1"/>
  <c r="R50" i="1" s="1"/>
  <c r="AA47" i="1" s="1"/>
  <c r="E48" i="1"/>
  <c r="A51" i="1"/>
  <c r="A52" i="1" s="1"/>
  <c r="A53" i="1" s="1"/>
  <c r="A54" i="1" s="1"/>
  <c r="A55" i="1" s="1"/>
  <c r="A56" i="1" s="1"/>
  <c r="B51" i="1"/>
  <c r="B52" i="1" s="1"/>
  <c r="B53" i="1" s="1"/>
  <c r="B54" i="1" s="1"/>
  <c r="B55" i="1" s="1"/>
  <c r="B56" i="1" s="1"/>
  <c r="E52" i="1"/>
  <c r="E53" i="1"/>
  <c r="P57" i="1" s="1"/>
  <c r="AA53" i="1" s="1"/>
  <c r="E54" i="1"/>
  <c r="R57" i="1" s="1"/>
  <c r="AA54" i="1" s="1"/>
  <c r="E55" i="1"/>
  <c r="A58" i="1"/>
  <c r="A59" i="1" s="1"/>
  <c r="A60" i="1" s="1"/>
  <c r="A61" i="1" s="1"/>
  <c r="A62" i="1" s="1"/>
  <c r="A63" i="1" s="1"/>
  <c r="B58" i="1"/>
  <c r="B59" i="1" s="1"/>
  <c r="B60" i="1" s="1"/>
  <c r="B61" i="1" s="1"/>
  <c r="B62" i="1" s="1"/>
  <c r="B63" i="1" s="1"/>
  <c r="E59" i="1"/>
  <c r="E60" i="1"/>
  <c r="P64" i="1" s="1"/>
  <c r="AA60" i="1" s="1"/>
  <c r="E61" i="1"/>
  <c r="R64" i="1" s="1"/>
  <c r="AA61" i="1" s="1"/>
  <c r="E62" i="1"/>
  <c r="A65" i="1"/>
  <c r="A66" i="1" s="1"/>
  <c r="A67" i="1" s="1"/>
  <c r="A68" i="1" s="1"/>
  <c r="A69" i="1" s="1"/>
  <c r="A70" i="1" s="1"/>
  <c r="B65" i="1"/>
  <c r="B66" i="1" s="1"/>
  <c r="B67" i="1" s="1"/>
  <c r="B68" i="1" s="1"/>
  <c r="B69" i="1" s="1"/>
  <c r="B70" i="1" s="1"/>
  <c r="E66" i="1"/>
  <c r="E67" i="1"/>
  <c r="E68" i="1"/>
  <c r="R71" i="1" s="1"/>
  <c r="AA68" i="1" s="1"/>
  <c r="E69" i="1"/>
  <c r="A72" i="1"/>
  <c r="A73" i="1" s="1"/>
  <c r="A74" i="1" s="1"/>
  <c r="A75" i="1" s="1"/>
  <c r="A76" i="1" s="1"/>
  <c r="A77" i="1" s="1"/>
  <c r="B72" i="1"/>
  <c r="B73" i="1" s="1"/>
  <c r="B74" i="1" s="1"/>
  <c r="B75" i="1" s="1"/>
  <c r="B76" i="1" s="1"/>
  <c r="B77" i="1" s="1"/>
  <c r="E73" i="1"/>
  <c r="N78" i="1" s="1"/>
  <c r="AA73" i="1" s="1"/>
  <c r="E74" i="1"/>
  <c r="P78" i="1" s="1"/>
  <c r="AA74" i="1" s="1"/>
  <c r="E75" i="1"/>
  <c r="R78" i="1" s="1"/>
  <c r="AA75" i="1" s="1"/>
  <c r="E76" i="1"/>
  <c r="A79" i="1"/>
  <c r="A80" i="1" s="1"/>
  <c r="A81" i="1" s="1"/>
  <c r="A82" i="1" s="1"/>
  <c r="A83" i="1" s="1"/>
  <c r="A84" i="1" s="1"/>
  <c r="B79" i="1"/>
  <c r="B80" i="1" s="1"/>
  <c r="B81" i="1" s="1"/>
  <c r="B82" i="1" s="1"/>
  <c r="B83" i="1" s="1"/>
  <c r="B84" i="1" s="1"/>
  <c r="E80" i="1"/>
  <c r="E81" i="1"/>
  <c r="P85" i="1" s="1"/>
  <c r="AA81" i="1" s="1"/>
  <c r="E82" i="1"/>
  <c r="R85" i="1" s="1"/>
  <c r="AA82" i="1" s="1"/>
  <c r="E83" i="1"/>
  <c r="A86" i="1"/>
  <c r="A87" i="1" s="1"/>
  <c r="A88" i="1" s="1"/>
  <c r="A89" i="1" s="1"/>
  <c r="A90" i="1" s="1"/>
  <c r="A91" i="1" s="1"/>
  <c r="B86" i="1"/>
  <c r="B87" i="1" s="1"/>
  <c r="B88" i="1" s="1"/>
  <c r="B89" i="1" s="1"/>
  <c r="B90" i="1" s="1"/>
  <c r="B91" i="1" s="1"/>
  <c r="E87" i="1"/>
  <c r="N92" i="1" s="1"/>
  <c r="AA87" i="1" s="1"/>
  <c r="E88" i="1"/>
  <c r="P92" i="1" s="1"/>
  <c r="AA88" i="1" s="1"/>
  <c r="E89" i="1"/>
  <c r="E90" i="1"/>
  <c r="A93" i="1"/>
  <c r="A94" i="1" s="1"/>
  <c r="A95" i="1" s="1"/>
  <c r="A96" i="1" s="1"/>
  <c r="A97" i="1" s="1"/>
  <c r="A98" i="1" s="1"/>
  <c r="B93" i="1"/>
  <c r="B94" i="1" s="1"/>
  <c r="B95" i="1" s="1"/>
  <c r="B96" i="1" s="1"/>
  <c r="B97" i="1" s="1"/>
  <c r="B98" i="1" s="1"/>
  <c r="E94" i="1"/>
  <c r="E95" i="1"/>
  <c r="P99" i="1" s="1"/>
  <c r="AA95" i="1" s="1"/>
  <c r="E96" i="1"/>
  <c r="R99" i="1" s="1"/>
  <c r="AA96" i="1" s="1"/>
  <c r="E97" i="1"/>
  <c r="L60" i="1"/>
  <c r="V25" i="1"/>
  <c r="K29" i="1"/>
  <c r="O29" i="1"/>
  <c r="S29" i="1"/>
  <c r="V29" i="1"/>
  <c r="K36" i="1"/>
  <c r="M36" i="1"/>
  <c r="O36" i="1"/>
  <c r="S36" i="1"/>
  <c r="V36" i="1"/>
  <c r="K43" i="1"/>
  <c r="M43" i="1"/>
  <c r="O43" i="1"/>
  <c r="S43" i="1"/>
  <c r="V43" i="1"/>
  <c r="K50" i="1"/>
  <c r="M50" i="1"/>
  <c r="O50" i="1"/>
  <c r="S50" i="1"/>
  <c r="T50" i="1"/>
  <c r="AA48" i="1" s="1"/>
  <c r="V50" i="1"/>
  <c r="N53" i="1"/>
  <c r="P53" i="1"/>
  <c r="R53" i="1"/>
  <c r="T53" i="1"/>
  <c r="V53" i="1"/>
  <c r="K57" i="1"/>
  <c r="M57" i="1"/>
  <c r="N57" i="1"/>
  <c r="AA52" i="1" s="1"/>
  <c r="O57" i="1"/>
  <c r="Q57" i="1"/>
  <c r="S57" i="1"/>
  <c r="T57" i="1"/>
  <c r="AA55" i="1" s="1"/>
  <c r="V57" i="1"/>
  <c r="N60" i="1"/>
  <c r="P60" i="1"/>
  <c r="R60" i="1"/>
  <c r="T60" i="1"/>
  <c r="V60" i="1"/>
  <c r="K64" i="1"/>
  <c r="M64" i="1"/>
  <c r="N64" i="1"/>
  <c r="AA59" i="1" s="1"/>
  <c r="O64" i="1"/>
  <c r="Q64" i="1"/>
  <c r="S64" i="1"/>
  <c r="T64" i="1"/>
  <c r="AA62" i="1" s="1"/>
  <c r="V64" i="1"/>
  <c r="N67" i="1"/>
  <c r="P67" i="1"/>
  <c r="R67" i="1"/>
  <c r="T67" i="1"/>
  <c r="V67" i="1"/>
  <c r="K71" i="1"/>
  <c r="M71" i="1"/>
  <c r="N71" i="1"/>
  <c r="AA66" i="1" s="1"/>
  <c r="O71" i="1"/>
  <c r="P71" i="1"/>
  <c r="AA67" i="1" s="1"/>
  <c r="Q71" i="1"/>
  <c r="S71" i="1"/>
  <c r="T71" i="1"/>
  <c r="AA69" i="1" s="1"/>
  <c r="V71" i="1"/>
  <c r="L74" i="1"/>
  <c r="N74" i="1"/>
  <c r="P74" i="1"/>
  <c r="R74" i="1"/>
  <c r="T74" i="1"/>
  <c r="V74" i="1"/>
  <c r="K78" i="1"/>
  <c r="M78" i="1"/>
  <c r="O78" i="1"/>
  <c r="Q78" i="1"/>
  <c r="S78" i="1"/>
  <c r="T78" i="1"/>
  <c r="AA76" i="1" s="1"/>
  <c r="V78" i="1"/>
  <c r="N81" i="1"/>
  <c r="P81" i="1"/>
  <c r="R81" i="1"/>
  <c r="T81" i="1"/>
  <c r="V81" i="1"/>
  <c r="K85" i="1"/>
  <c r="M85" i="1"/>
  <c r="N85" i="1"/>
  <c r="AA80" i="1" s="1"/>
  <c r="O85" i="1"/>
  <c r="Q85" i="1"/>
  <c r="S85" i="1"/>
  <c r="T85" i="1"/>
  <c r="AA83" i="1" s="1"/>
  <c r="V85" i="1"/>
  <c r="N88" i="1"/>
  <c r="P88" i="1"/>
  <c r="R88" i="1"/>
  <c r="T88" i="1"/>
  <c r="V88" i="1"/>
  <c r="K92" i="1"/>
  <c r="M92" i="1"/>
  <c r="O92" i="1"/>
  <c r="Q92" i="1"/>
  <c r="R92" i="1"/>
  <c r="AA89" i="1" s="1"/>
  <c r="S92" i="1"/>
  <c r="T92" i="1"/>
  <c r="AA90" i="1" s="1"/>
  <c r="V92" i="1"/>
  <c r="N95" i="1"/>
  <c r="P95" i="1"/>
  <c r="R95" i="1"/>
  <c r="T95" i="1"/>
  <c r="V95" i="1"/>
  <c r="K99" i="1"/>
  <c r="M99" i="1"/>
  <c r="N99" i="1"/>
  <c r="AA94" i="1" s="1"/>
  <c r="O99" i="1"/>
  <c r="Q99" i="1"/>
  <c r="S99" i="1"/>
  <c r="T99" i="1"/>
  <c r="AA97" i="1" s="1"/>
  <c r="V99" i="1"/>
  <c r="L25" i="1"/>
  <c r="L53" i="1"/>
  <c r="L67" i="1"/>
  <c r="L81" i="1"/>
  <c r="L88" i="1"/>
  <c r="L95" i="1"/>
  <c r="W10" i="1"/>
  <c r="K22" i="1"/>
  <c r="E24" i="1" l="1"/>
  <c r="N29" i="1" s="1"/>
  <c r="AA24" i="1" s="1"/>
  <c r="E16" i="1"/>
  <c r="L22" i="1" s="1"/>
  <c r="D16" i="1"/>
  <c r="C16" i="1"/>
  <c r="C17" i="1"/>
  <c r="D23" i="1"/>
  <c r="D51" i="1"/>
  <c r="D79" i="1"/>
  <c r="D58" i="1"/>
  <c r="D86" i="1"/>
  <c r="D37" i="1"/>
  <c r="D93" i="1"/>
  <c r="D44" i="1"/>
  <c r="D30" i="1"/>
  <c r="D65" i="1"/>
  <c r="D72" i="1"/>
  <c r="E17" i="1"/>
  <c r="E31" i="1"/>
  <c r="N36" i="1" s="1"/>
  <c r="AA31" i="1" s="1"/>
  <c r="E46" i="1"/>
  <c r="P50" i="1" s="1"/>
  <c r="AA46" i="1" s="1"/>
  <c r="E39" i="1"/>
  <c r="P43" i="1" s="1"/>
  <c r="AA39" i="1" s="1"/>
  <c r="E38" i="1"/>
  <c r="N43" i="1" s="1"/>
  <c r="AA38" i="1" s="1"/>
  <c r="E40" i="1"/>
  <c r="R43" i="1" s="1"/>
  <c r="AA40" i="1" s="1"/>
  <c r="E41" i="1"/>
  <c r="T43" i="1" s="1"/>
  <c r="AA41" i="1" s="1"/>
  <c r="E33" i="1"/>
  <c r="R36" i="1" s="1"/>
  <c r="AA33" i="1" s="1"/>
  <c r="E34" i="1"/>
  <c r="T36" i="1" s="1"/>
  <c r="AA34" i="1" s="1"/>
  <c r="E32" i="1"/>
  <c r="P36" i="1" s="1"/>
  <c r="AA32" i="1" s="1"/>
  <c r="E26" i="1"/>
  <c r="R29" i="1" s="1"/>
  <c r="AA26" i="1" s="1"/>
  <c r="C18" i="1"/>
  <c r="E19" i="1"/>
  <c r="C21" i="1"/>
  <c r="C93" i="1"/>
  <c r="C86" i="1"/>
  <c r="C79" i="1"/>
  <c r="C72" i="1"/>
  <c r="C65" i="1"/>
  <c r="C58" i="1"/>
  <c r="C51" i="1"/>
  <c r="Q50" i="1"/>
  <c r="Q43" i="1"/>
  <c r="Q36" i="1"/>
  <c r="E27" i="1"/>
  <c r="T29" i="1" s="1"/>
  <c r="AA27" i="1" s="1"/>
  <c r="Q29" i="1"/>
  <c r="E25" i="1"/>
  <c r="P29" i="1" s="1"/>
  <c r="AA25" i="1" s="1"/>
  <c r="C98" i="1"/>
  <c r="C88" i="1"/>
  <c r="C74" i="1"/>
  <c r="C60" i="1"/>
  <c r="C46" i="1"/>
  <c r="P46" i="1" s="1"/>
  <c r="C32" i="1"/>
  <c r="P32" i="1" s="1"/>
  <c r="C95" i="1"/>
  <c r="C84" i="1"/>
  <c r="C75" i="1"/>
  <c r="C66" i="1"/>
  <c r="C56" i="1"/>
  <c r="C47" i="1"/>
  <c r="R46" i="1" s="1"/>
  <c r="C38" i="1"/>
  <c r="N39" i="1" s="1"/>
  <c r="C27" i="1"/>
  <c r="T25" i="1" s="1"/>
  <c r="C96" i="1"/>
  <c r="E93" i="1"/>
  <c r="C90" i="1"/>
  <c r="C81" i="1"/>
  <c r="C76" i="1"/>
  <c r="C67" i="1"/>
  <c r="C62" i="1"/>
  <c r="C53" i="1"/>
  <c r="C48" i="1"/>
  <c r="T46" i="1" s="1"/>
  <c r="C39" i="1"/>
  <c r="P39" i="1" s="1"/>
  <c r="C34" i="1"/>
  <c r="T32" i="1" s="1"/>
  <c r="C94" i="1"/>
  <c r="C83" i="1"/>
  <c r="C69" i="1"/>
  <c r="C55" i="1"/>
  <c r="C41" i="1"/>
  <c r="T39" i="1" s="1"/>
  <c r="C89" i="1"/>
  <c r="C80" i="1"/>
  <c r="C70" i="1"/>
  <c r="C61" i="1"/>
  <c r="C52" i="1"/>
  <c r="C42" i="1"/>
  <c r="V39" i="1" s="1"/>
  <c r="C33" i="1"/>
  <c r="R32" i="1" s="1"/>
  <c r="C28" i="1"/>
  <c r="C26" i="1"/>
  <c r="R25" i="1" s="1"/>
  <c r="C25" i="1"/>
  <c r="P25" i="1" s="1"/>
  <c r="C24" i="1"/>
  <c r="N25" i="1" s="1"/>
  <c r="C97" i="1"/>
  <c r="C91" i="1"/>
  <c r="C87" i="1"/>
  <c r="C82" i="1"/>
  <c r="C77" i="1"/>
  <c r="C73" i="1"/>
  <c r="C68" i="1"/>
  <c r="C63" i="1"/>
  <c r="C59" i="1"/>
  <c r="C54" i="1"/>
  <c r="C49" i="1"/>
  <c r="V46" i="1" s="1"/>
  <c r="C45" i="1"/>
  <c r="N46" i="1" s="1"/>
  <c r="C40" i="1"/>
  <c r="R39" i="1" s="1"/>
  <c r="C35" i="1"/>
  <c r="V32" i="1" s="1"/>
  <c r="C31" i="1"/>
  <c r="N32" i="1" s="1"/>
  <c r="E86" i="1"/>
  <c r="E79" i="1"/>
  <c r="E72" i="1"/>
  <c r="E65" i="1"/>
  <c r="E58" i="1"/>
  <c r="E51" i="1"/>
  <c r="E44" i="1"/>
  <c r="E37" i="1"/>
  <c r="E30" i="1"/>
  <c r="E23" i="1"/>
  <c r="C19" i="1"/>
  <c r="E18" i="1"/>
  <c r="E20" i="1"/>
  <c r="C20" i="1"/>
  <c r="T22" i="1" l="1"/>
  <c r="AA20" i="1" s="1"/>
  <c r="P22" i="1"/>
  <c r="AA18" i="1" s="1"/>
  <c r="R22" i="1"/>
  <c r="AA19" i="1" s="1"/>
  <c r="N22" i="1"/>
  <c r="AA17" i="1" s="1"/>
  <c r="A12" i="1"/>
  <c r="AA16" i="1"/>
  <c r="L36" i="1"/>
  <c r="AA30" i="1" s="1"/>
  <c r="L43" i="1"/>
  <c r="AA37" i="1" s="1"/>
  <c r="L71" i="1"/>
  <c r="AA65" i="1" s="1"/>
  <c r="L99" i="1"/>
  <c r="AA93" i="1" s="1"/>
  <c r="L50" i="1"/>
  <c r="AA44" i="1" s="1"/>
  <c r="L78" i="1"/>
  <c r="AA72" i="1" s="1"/>
  <c r="L29" i="1"/>
  <c r="AA23" i="1" s="1"/>
  <c r="L57" i="1"/>
  <c r="AA51" i="1" s="1"/>
  <c r="L85" i="1"/>
  <c r="AA79" i="1" s="1"/>
  <c r="L64" i="1"/>
  <c r="AA58" i="1" s="1"/>
  <c r="L92" i="1"/>
  <c r="AA86" i="1" s="1"/>
  <c r="W80" i="1"/>
  <c r="X80" i="1"/>
  <c r="Y80" i="1"/>
  <c r="Z80" i="1"/>
  <c r="W66" i="1"/>
  <c r="X66" i="1"/>
  <c r="Y66" i="1"/>
  <c r="Z66" i="1"/>
  <c r="W38" i="1"/>
  <c r="X38" i="1"/>
  <c r="Y38" i="1"/>
  <c r="Z38" i="1"/>
  <c r="W52" i="1"/>
  <c r="X52" i="1"/>
  <c r="Y52" i="1"/>
  <c r="Z52" i="1"/>
  <c r="W73" i="1"/>
  <c r="Y73" i="1"/>
  <c r="Z73" i="1"/>
  <c r="X73" i="1"/>
  <c r="W31" i="1"/>
  <c r="Y31" i="1"/>
  <c r="Z31" i="1"/>
  <c r="X31" i="1"/>
  <c r="W87" i="1"/>
  <c r="Y87" i="1"/>
  <c r="Z87" i="1"/>
  <c r="X87" i="1"/>
  <c r="W24" i="1"/>
  <c r="X24" i="1"/>
  <c r="Y24" i="1"/>
  <c r="Z24" i="1"/>
  <c r="W94" i="1"/>
  <c r="X94" i="1"/>
  <c r="Y94" i="1"/>
  <c r="Z94" i="1"/>
  <c r="W45" i="1"/>
  <c r="Y45" i="1"/>
  <c r="Z45" i="1"/>
  <c r="X45" i="1"/>
  <c r="W59" i="1"/>
  <c r="Y59" i="1"/>
  <c r="Z59" i="1"/>
  <c r="X59" i="1"/>
  <c r="W17" i="1"/>
  <c r="Z17" i="1"/>
  <c r="L7" i="1" l="1"/>
  <c r="L18" i="1"/>
  <c r="H6" i="1" l="1"/>
  <c r="H5" i="1"/>
  <c r="B17" i="1" l="1"/>
  <c r="B18" i="1" s="1"/>
  <c r="B19" i="1" s="1"/>
  <c r="B20" i="1" s="1"/>
  <c r="B21" i="1" s="1"/>
  <c r="A16" i="1" l="1"/>
  <c r="A17" i="1" s="1"/>
  <c r="A18" i="1" s="1"/>
  <c r="A19" i="1" s="1"/>
  <c r="A20" i="1" s="1"/>
  <c r="A21" i="1" s="1"/>
  <c r="Y17" i="1" l="1"/>
  <c r="X17" i="1"/>
  <c r="X100" i="1" l="1"/>
  <c r="Y100" i="1"/>
  <c r="W100" i="1"/>
  <c r="E8" i="2" l="1"/>
  <c r="E11" i="2" s="1"/>
  <c r="D8" i="2"/>
  <c r="D11" i="2" s="1"/>
  <c r="C8" i="2"/>
  <c r="C11" i="2" s="1"/>
  <c r="L100" i="1"/>
  <c r="Z100" i="1" l="1"/>
  <c r="F8" i="2" l="1"/>
  <c r="F11" i="2" s="1"/>
  <c r="AA100" i="1" l="1"/>
  <c r="H8" i="2" l="1"/>
  <c r="G8" i="2"/>
  <c r="G11" i="2" s="1"/>
</calcChain>
</file>

<file path=xl/sharedStrings.xml><?xml version="1.0" encoding="utf-8"?>
<sst xmlns="http://schemas.openxmlformats.org/spreadsheetml/2006/main" count="400" uniqueCount="99">
  <si>
    <t>DOCUMENT CONTROL STATUS REPORT</t>
  </si>
  <si>
    <t>PROJECT</t>
  </si>
  <si>
    <t>JOB NO.</t>
  </si>
  <si>
    <t>WBS - 1</t>
  </si>
  <si>
    <t>WBS - 2</t>
  </si>
  <si>
    <t>WO No.</t>
  </si>
  <si>
    <t>Status  :   PR = Preliminary,   R = Review,   A = Approval,   C = Construction,</t>
  </si>
  <si>
    <t>Status  :   AP = Approved,   AB = As Built , Q = Quotation</t>
  </si>
  <si>
    <t>NO</t>
  </si>
  <si>
    <t>ITEM NO./
DOCUMENT NO.</t>
  </si>
  <si>
    <t>DOCUMENT TITLE</t>
  </si>
  <si>
    <t>SIZE</t>
  </si>
  <si>
    <t>TRANSMITTAL NO.</t>
  </si>
  <si>
    <t>REV</t>
  </si>
  <si>
    <t>B</t>
  </si>
  <si>
    <t>C</t>
  </si>
  <si>
    <t>OUT</t>
  </si>
  <si>
    <t>STATUS</t>
  </si>
  <si>
    <t>DATE</t>
  </si>
  <si>
    <t>INC</t>
  </si>
  <si>
    <t>COMMENT</t>
  </si>
  <si>
    <t>Discipline / Scope</t>
  </si>
  <si>
    <t>Status</t>
  </si>
  <si>
    <t>Approved With Comment</t>
  </si>
  <si>
    <t>Approved</t>
  </si>
  <si>
    <t>Document Status</t>
  </si>
  <si>
    <t>A</t>
  </si>
  <si>
    <t>NOT APPROVED</t>
  </si>
  <si>
    <t>REVIEW</t>
  </si>
  <si>
    <t>APPROVED</t>
  </si>
  <si>
    <t>DOCUMENT NO</t>
  </si>
  <si>
    <t>A3</t>
  </si>
  <si>
    <t>APPROVAL</t>
  </si>
  <si>
    <t>CODE 4</t>
  </si>
  <si>
    <t>Last Status of Document / DWG</t>
  </si>
  <si>
    <t>APPROVED WITH COMMENT</t>
  </si>
  <si>
    <t>Submission Status</t>
  </si>
  <si>
    <t>PR</t>
  </si>
  <si>
    <t>Preliminary</t>
  </si>
  <si>
    <t>R</t>
  </si>
  <si>
    <t>Review</t>
  </si>
  <si>
    <t>Approval</t>
  </si>
  <si>
    <t>Construction</t>
  </si>
  <si>
    <t>AP</t>
  </si>
  <si>
    <t>AB</t>
  </si>
  <si>
    <t>As Built</t>
  </si>
  <si>
    <t>Q</t>
  </si>
  <si>
    <t>Quotation</t>
  </si>
  <si>
    <t>PROJECT OPTIMALISASI FUNGSI EXCEL UNTUK REMINDER DOCUMENT</t>
  </si>
  <si>
    <t>I</t>
  </si>
  <si>
    <t>INFORMATION</t>
  </si>
  <si>
    <t>RMP</t>
  </si>
  <si>
    <t>Days</t>
  </si>
  <si>
    <t>RT (days)</t>
  </si>
  <si>
    <t>RMP-2</t>
  </si>
  <si>
    <t>RMP-3</t>
  </si>
  <si>
    <t>Code 4</t>
  </si>
  <si>
    <t>NPK-000-A4-DW-025</t>
  </si>
  <si>
    <t>LIVING QUARTER FOUNDATION PLAN,DETAIL, SECTION AND MEMBER SCHEDULE</t>
  </si>
  <si>
    <t>NPK-000-A4-DW-026</t>
  </si>
  <si>
    <t>LIVING QUARTER FLOOR PLAN</t>
  </si>
  <si>
    <t>NPK-000-A4-DW-028</t>
  </si>
  <si>
    <t xml:space="preserve">LIVING QUARTER FRAMING ELEV LINE </t>
  </si>
  <si>
    <t>NPK-000-A7-DW-011</t>
  </si>
  <si>
    <t>LIVING QUARTER FLOOR PLAN 1ST FLOOR , FLOOR PLAN 2ND FLOOR</t>
  </si>
  <si>
    <t>NPK-000-A7-DW-012</t>
  </si>
  <si>
    <t>LIVING QUARTER ROOF PLAN , VIEW AND FIN SCHEDULE</t>
  </si>
  <si>
    <t>NPK-300-R1-GS-4001-K</t>
  </si>
  <si>
    <t>SPECIFICATION FOR CENTRIFUGAL PUMP</t>
  </si>
  <si>
    <t>NPK-300-R3-GS-4001-K</t>
  </si>
  <si>
    <t xml:space="preserve">SPECIFICATION FOR FAN AND BLOWER </t>
  </si>
  <si>
    <t>NPK-300-R7-GS-4001-K</t>
  </si>
  <si>
    <t xml:space="preserve">SPECIFICATION FOR CRUSHER </t>
  </si>
  <si>
    <t>NPK-700-T3-DS-TK701-K</t>
  </si>
  <si>
    <t>MECHANICAL DATA SHEET PHOSPORIC ACID STORAGE TANK (81-TK-701 A/B)</t>
  </si>
  <si>
    <t>NPK-800-T2-DS-TK801-K</t>
  </si>
  <si>
    <t>MECHANICAL DATA SHEET SHULPURIC ACID STORAGE TANK (81-TK-801 A/B)</t>
  </si>
  <si>
    <t>No Doc</t>
  </si>
  <si>
    <t>Title</t>
  </si>
  <si>
    <t>TOTAL</t>
  </si>
  <si>
    <t>NPK-T-RE-PP-0001</t>
  </si>
  <si>
    <t>NPK-T-RE-PP-0002</t>
  </si>
  <si>
    <t>NPK-T-RE-PP-0003</t>
  </si>
  <si>
    <t>NPK-T-RE-PP-0004</t>
  </si>
  <si>
    <t>CIVIL</t>
  </si>
  <si>
    <t>MECHANICAL</t>
  </si>
  <si>
    <t>UR</t>
  </si>
  <si>
    <t>IFR</t>
  </si>
  <si>
    <t>IFA</t>
  </si>
  <si>
    <t>NPK-TT-010-K_V</t>
  </si>
  <si>
    <t>NPK-TT-011-K_V</t>
  </si>
  <si>
    <t>NPK-TT-012-K_V</t>
  </si>
  <si>
    <t>RT</t>
  </si>
  <si>
    <t>RESPONSE TIME</t>
  </si>
  <si>
    <t>Pending Documents</t>
  </si>
  <si>
    <t>Mechanical Due Date</t>
  </si>
  <si>
    <t>Civil Due Date</t>
  </si>
  <si>
    <t>Internal Icivil</t>
  </si>
  <si>
    <t>Internal Mechanical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</si>
</sst>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dd\-mmm\-yy;@"/>
    <numFmt numFmtId="165" formatCode="[$-409]d\-mmm\-yy;@"/>
    <numFmt numFmtId="166" formatCode="[$-409]ddd\,\ d\-mmm\-yy;@"/>
  </numFmts>
  <fonts count="21" x14ac:knownFonts="1">
    <font>
      <sz val="11"/>
      <color theme="1"/>
      <name val="Calibri"/>
      <family val="2"/>
      <charset val="1"/>
      <scheme val="minor"/>
    </font>
    <font>
      <b/>
      <sz val="11"/>
      <color theme="1"/>
      <name val="Arial"/>
      <family val="2"/>
    </font>
    <font>
      <sz val="11"/>
      <color theme="1"/>
      <name val="Arial"/>
      <family val="2"/>
    </font>
    <font>
      <b/>
      <u/>
      <sz val="12"/>
      <color theme="1"/>
      <name val="Arial"/>
      <family val="2"/>
    </font>
    <font>
      <sz val="9"/>
      <color theme="1"/>
      <name val="Arial"/>
      <family val="2"/>
    </font>
    <font>
      <sz val="11"/>
      <color theme="1"/>
      <name val="Arial Narrow"/>
      <family val="2"/>
    </font>
    <font>
      <b/>
      <sz val="11"/>
      <color rgb="FFFFFF00"/>
      <name val="Arial"/>
      <family val="2"/>
    </font>
    <font>
      <sz val="8"/>
      <name val="Calibri"/>
      <family val="2"/>
      <charset val="1"/>
      <scheme val="minor"/>
    </font>
    <font>
      <sz val="9"/>
      <color theme="1"/>
      <name val="Arial Narrow"/>
      <family val="2"/>
    </font>
    <font>
      <b/>
      <sz val="11"/>
      <color theme="1"/>
      <name val="Calibri"/>
      <family val="2"/>
      <scheme val="minor"/>
    </font>
    <font>
      <b/>
      <sz val="11"/>
      <color theme="1"/>
      <name val="Arial Narrow"/>
      <family val="2"/>
    </font>
    <font>
      <b/>
      <sz val="11"/>
      <color theme="1"/>
      <name val="Calibri"/>
      <family val="2"/>
    </font>
    <font>
      <sz val="8"/>
      <color theme="1"/>
      <name val="Arial Narrow"/>
      <family val="2"/>
    </font>
    <font>
      <sz val="8"/>
      <color theme="1"/>
      <name val="Arial"/>
      <family val="2"/>
    </font>
    <font>
      <b/>
      <sz val="8"/>
      <color theme="1"/>
      <name val="Arial"/>
      <family val="2"/>
    </font>
    <font>
      <sz val="12"/>
      <color theme="1"/>
      <name val="Arial"/>
      <family val="2"/>
    </font>
    <font>
      <sz val="10"/>
      <name val="Arial"/>
      <family val="2"/>
    </font>
    <font>
      <sz val="11"/>
      <name val="Arial Narrow"/>
      <family val="2"/>
    </font>
    <font>
      <b/>
      <sz val="11"/>
      <color theme="0"/>
      <name val="Calibri"/>
      <family val="2"/>
      <scheme val="minor"/>
    </font>
    <font>
      <sz val="11"/>
      <color rgb="FFFF0000"/>
      <name val="Arial Narrow"/>
      <family val="2"/>
    </font>
    <font>
      <sz val="8"/>
      <color rgb="FFFF0000"/>
      <name val="Arial Narrow"/>
      <family val="2"/>
    </font>
  </fonts>
  <fills count="9">
    <fill>
      <patternFill patternType="none"/>
    </fill>
    <fill>
      <patternFill patternType="gray125"/>
    </fill>
    <fill>
      <patternFill patternType="solid">
        <fgColor theme="5" tint="0.79998168889431442"/>
        <bgColor indexed="64"/>
      </patternFill>
    </fill>
    <fill>
      <patternFill patternType="solid">
        <fgColor rgb="FFC00000"/>
        <bgColor indexed="64"/>
      </patternFill>
    </fill>
    <fill>
      <patternFill patternType="solid">
        <fgColor rgb="FFFFFF00"/>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2" tint="-0.749992370372631"/>
        <bgColor indexed="64"/>
      </patternFill>
    </fill>
    <fill>
      <patternFill patternType="solid">
        <fgColor theme="1"/>
        <bgColor indexed="64"/>
      </patternFill>
    </fill>
  </fills>
  <borders count="48">
    <border>
      <left/>
      <right/>
      <top/>
      <bottom/>
      <diagonal/>
    </border>
    <border>
      <left style="medium">
        <color indexed="64"/>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style="thin">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indexed="64"/>
      </top>
      <bottom style="medium">
        <color indexed="64"/>
      </bottom>
      <diagonal/>
    </border>
    <border>
      <left/>
      <right style="thin">
        <color auto="1"/>
      </right>
      <top style="thin">
        <color indexed="64"/>
      </top>
      <bottom style="medium">
        <color indexed="64"/>
      </bottom>
      <diagonal/>
    </border>
    <border>
      <left/>
      <right style="thin">
        <color auto="1"/>
      </right>
      <top style="medium">
        <color indexed="64"/>
      </top>
      <bottom style="thin">
        <color auto="1"/>
      </bottom>
      <diagonal/>
    </border>
    <border>
      <left/>
      <right/>
      <top style="medium">
        <color indexed="64"/>
      </top>
      <bottom style="medium">
        <color indexed="64"/>
      </bottom>
      <diagonal/>
    </border>
    <border>
      <left/>
      <right style="thin">
        <color auto="1"/>
      </right>
      <top style="thin">
        <color indexed="64"/>
      </top>
      <bottom/>
      <diagonal/>
    </border>
    <border>
      <left style="thin">
        <color auto="1"/>
      </left>
      <right style="medium">
        <color indexed="64"/>
      </right>
      <top style="medium">
        <color indexed="64"/>
      </top>
      <bottom style="medium">
        <color indexed="64"/>
      </bottom>
      <diagonal/>
    </border>
    <border>
      <left/>
      <right style="thin">
        <color auto="1"/>
      </right>
      <top/>
      <bottom style="thin">
        <color auto="1"/>
      </bottom>
      <diagonal/>
    </border>
    <border>
      <left/>
      <right/>
      <top style="medium">
        <color indexed="64"/>
      </top>
      <bottom style="thin">
        <color auto="1"/>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16" fillId="0" borderId="0"/>
  </cellStyleXfs>
  <cellXfs count="177">
    <xf numFmtId="0" fontId="0" fillId="0" borderId="0" xfId="0"/>
    <xf numFmtId="0" fontId="1" fillId="0" borderId="0" xfId="0" applyFont="1"/>
    <xf numFmtId="0" fontId="2" fillId="0" borderId="0" xfId="0" applyFont="1"/>
    <xf numFmtId="164" fontId="2" fillId="0" borderId="0" xfId="0" applyNumberFormat="1" applyFont="1"/>
    <xf numFmtId="0" fontId="1" fillId="0" borderId="0" xfId="0" applyNumberFormat="1" applyFont="1"/>
    <xf numFmtId="0" fontId="4" fillId="0" borderId="0" xfId="0" applyFont="1"/>
    <xf numFmtId="0" fontId="1" fillId="0" borderId="0" xfId="0" applyFont="1" applyAlignment="1">
      <alignment horizontal="center"/>
    </xf>
    <xf numFmtId="164" fontId="1" fillId="0" borderId="0" xfId="0" applyNumberFormat="1" applyFont="1" applyAlignment="1">
      <alignment horizontal="center"/>
    </xf>
    <xf numFmtId="0" fontId="1" fillId="3" borderId="8" xfId="0" applyFont="1" applyFill="1" applyBorder="1" applyAlignment="1">
      <alignment horizontal="center"/>
    </xf>
    <xf numFmtId="0" fontId="1" fillId="3" borderId="9" xfId="0" applyFont="1" applyFill="1" applyBorder="1" applyAlignment="1">
      <alignment horizontal="center"/>
    </xf>
    <xf numFmtId="0" fontId="5" fillId="4" borderId="13" xfId="0" applyFont="1" applyFill="1" applyBorder="1"/>
    <xf numFmtId="0" fontId="5" fillId="0" borderId="0" xfId="0" applyFont="1"/>
    <xf numFmtId="164" fontId="5" fillId="0" borderId="0" xfId="0" applyNumberFormat="1" applyFont="1"/>
    <xf numFmtId="0" fontId="5" fillId="0" borderId="0" xfId="0" applyFont="1" applyBorder="1"/>
    <xf numFmtId="14" fontId="2" fillId="0" borderId="0" xfId="0" applyNumberFormat="1" applyFont="1"/>
    <xf numFmtId="15" fontId="2" fillId="0" borderId="0" xfId="0" applyNumberFormat="1" applyFont="1"/>
    <xf numFmtId="0" fontId="1" fillId="3" borderId="11" xfId="0" applyFont="1" applyFill="1" applyBorder="1" applyAlignment="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1" fillId="0" borderId="0" xfId="0" applyFont="1" applyAlignment="1">
      <alignment horizontal="left" vertical="center"/>
    </xf>
    <xf numFmtId="0" fontId="5" fillId="4" borderId="0" xfId="0" applyFont="1" applyFill="1" applyBorder="1" applyAlignment="1">
      <alignment vertical="center"/>
    </xf>
    <xf numFmtId="0" fontId="5" fillId="4" borderId="0" xfId="0" applyNumberFormat="1" applyFont="1" applyFill="1" applyBorder="1" applyAlignment="1"/>
    <xf numFmtId="0" fontId="6" fillId="4" borderId="25" xfId="0" applyFont="1" applyFill="1" applyBorder="1" applyAlignment="1">
      <alignment horizontal="center" vertical="center"/>
    </xf>
    <xf numFmtId="0" fontId="5" fillId="4" borderId="21" xfId="0" applyFont="1" applyFill="1" applyBorder="1"/>
    <xf numFmtId="0" fontId="8" fillId="0" borderId="0" xfId="0" applyFont="1" applyAlignment="1">
      <alignment horizontal="center" vertical="center" wrapText="1"/>
    </xf>
    <xf numFmtId="0" fontId="1" fillId="0" borderId="13" xfId="0" applyFont="1" applyBorder="1"/>
    <xf numFmtId="0" fontId="1" fillId="0" borderId="27" xfId="0" applyFont="1" applyBorder="1"/>
    <xf numFmtId="0" fontId="11" fillId="0" borderId="21" xfId="0" applyFont="1" applyBorder="1" applyAlignment="1">
      <alignment horizontal="center" vertical="center"/>
    </xf>
    <xf numFmtId="0" fontId="9" fillId="0" borderId="21" xfId="0" applyFont="1" applyFill="1" applyBorder="1" applyAlignment="1">
      <alignment horizontal="center"/>
    </xf>
    <xf numFmtId="0" fontId="11" fillId="0" borderId="16" xfId="0" applyFont="1" applyBorder="1" applyAlignment="1">
      <alignment horizontal="center" vertical="center"/>
    </xf>
    <xf numFmtId="0" fontId="3" fillId="0" borderId="0" xfId="0" applyFont="1" applyAlignment="1">
      <alignment horizontal="center"/>
    </xf>
    <xf numFmtId="164" fontId="10" fillId="5" borderId="17" xfId="0" applyNumberFormat="1" applyFont="1" applyFill="1" applyBorder="1" applyAlignment="1">
      <alignment horizontal="center" vertical="center" wrapText="1"/>
    </xf>
    <xf numFmtId="0" fontId="1" fillId="0" borderId="0" xfId="0" applyFont="1" applyAlignment="1">
      <alignment horizontal="left"/>
    </xf>
    <xf numFmtId="0" fontId="1" fillId="3" borderId="25" xfId="0" applyFont="1" applyFill="1" applyBorder="1" applyAlignment="1"/>
    <xf numFmtId="0" fontId="5" fillId="4" borderId="36" xfId="0" applyFont="1" applyFill="1" applyBorder="1" applyAlignment="1"/>
    <xf numFmtId="0" fontId="5" fillId="4" borderId="40" xfId="0" applyFont="1" applyFill="1" applyBorder="1" applyAlignment="1">
      <alignment vertical="center"/>
    </xf>
    <xf numFmtId="0" fontId="5" fillId="4" borderId="36" xfId="0" applyFont="1" applyFill="1" applyBorder="1" applyAlignment="1">
      <alignment vertical="center"/>
    </xf>
    <xf numFmtId="0" fontId="5" fillId="4" borderId="36" xfId="0" applyNumberFormat="1" applyFont="1" applyFill="1" applyBorder="1" applyAlignment="1"/>
    <xf numFmtId="0" fontId="5" fillId="4" borderId="42" xfId="0" applyFont="1" applyFill="1" applyBorder="1" applyAlignment="1">
      <alignment vertical="center"/>
    </xf>
    <xf numFmtId="0" fontId="5" fillId="4" borderId="43" xfId="0" applyNumberFormat="1" applyFont="1" applyFill="1" applyBorder="1" applyAlignment="1"/>
    <xf numFmtId="0" fontId="5" fillId="4" borderId="38" xfId="0" applyFont="1" applyFill="1" applyBorder="1" applyAlignment="1">
      <alignment vertical="center"/>
    </xf>
    <xf numFmtId="0" fontId="5" fillId="4" borderId="39" xfId="0" applyFont="1" applyFill="1" applyBorder="1" applyAlignment="1">
      <alignment vertical="center"/>
    </xf>
    <xf numFmtId="0" fontId="5" fillId="4" borderId="39" xfId="0" applyNumberFormat="1" applyFont="1" applyFill="1" applyBorder="1" applyAlignment="1"/>
    <xf numFmtId="0" fontId="5" fillId="4" borderId="44" xfId="0" applyNumberFormat="1" applyFont="1" applyFill="1" applyBorder="1" applyAlignment="1"/>
    <xf numFmtId="0" fontId="12" fillId="0" borderId="16" xfId="0" applyNumberFormat="1" applyFont="1" applyBorder="1" applyAlignment="1">
      <alignment vertical="center"/>
    </xf>
    <xf numFmtId="0" fontId="13" fillId="0" borderId="0" xfId="0" applyFont="1"/>
    <xf numFmtId="0" fontId="14" fillId="3" borderId="12" xfId="0" applyFont="1" applyFill="1" applyBorder="1" applyAlignment="1"/>
    <xf numFmtId="0" fontId="12" fillId="4" borderId="3" xfId="0" applyFont="1" applyFill="1" applyBorder="1" applyAlignment="1"/>
    <xf numFmtId="0" fontId="12" fillId="0" borderId="16" xfId="0" applyFont="1" applyBorder="1" applyAlignment="1">
      <alignment vertical="center"/>
    </xf>
    <xf numFmtId="165" fontId="13" fillId="0" borderId="0" xfId="0" applyNumberFormat="1" applyFont="1"/>
    <xf numFmtId="0" fontId="1" fillId="0" borderId="0" xfId="0" applyFont="1" applyAlignment="1">
      <alignment horizontal="center"/>
    </xf>
    <xf numFmtId="14" fontId="15" fillId="0" borderId="0" xfId="0" applyNumberFormat="1" applyFont="1" applyAlignment="1">
      <alignment horizontal="center"/>
    </xf>
    <xf numFmtId="165" fontId="5" fillId="0" borderId="14" xfId="0" applyNumberFormat="1" applyFont="1" applyBorder="1" applyAlignment="1">
      <alignment horizontal="center" vertical="center"/>
    </xf>
    <xf numFmtId="0" fontId="3" fillId="0" borderId="0" xfId="0" applyFont="1" applyAlignment="1">
      <alignment horizontal="center"/>
    </xf>
    <xf numFmtId="0" fontId="5" fillId="0" borderId="14" xfId="0" applyFont="1" applyBorder="1" applyAlignment="1">
      <alignment horizontal="center" vertical="center"/>
    </xf>
    <xf numFmtId="0" fontId="1" fillId="2" borderId="22" xfId="0" applyFont="1" applyFill="1" applyBorder="1" applyAlignment="1">
      <alignment horizontal="center"/>
    </xf>
    <xf numFmtId="0" fontId="1" fillId="2" borderId="23" xfId="0" applyFont="1" applyFill="1" applyBorder="1" applyAlignment="1">
      <alignment horizontal="center"/>
    </xf>
    <xf numFmtId="0" fontId="5" fillId="0" borderId="18" xfId="0" applyFont="1" applyBorder="1" applyAlignment="1">
      <alignment horizontal="center" vertical="center"/>
    </xf>
    <xf numFmtId="0" fontId="1" fillId="3" borderId="11" xfId="0" applyFont="1" applyFill="1" applyBorder="1" applyAlignment="1">
      <alignment horizontal="center"/>
    </xf>
    <xf numFmtId="0" fontId="9" fillId="0" borderId="21" xfId="0" applyFont="1" applyBorder="1" applyAlignment="1">
      <alignment horizontal="center"/>
    </xf>
    <xf numFmtId="0" fontId="9" fillId="0" borderId="16" xfId="0" applyFont="1" applyBorder="1" applyAlignment="1">
      <alignment horizontal="center"/>
    </xf>
    <xf numFmtId="0" fontId="5" fillId="4" borderId="2" xfId="0" applyFont="1" applyFill="1" applyBorder="1" applyAlignment="1">
      <alignment horizontal="center"/>
    </xf>
    <xf numFmtId="0" fontId="5" fillId="0" borderId="14" xfId="0" applyFont="1" applyBorder="1" applyAlignment="1">
      <alignment horizontal="left"/>
    </xf>
    <xf numFmtId="0" fontId="5" fillId="0" borderId="14" xfId="0" applyFont="1" applyBorder="1" applyAlignment="1">
      <alignment horizontal="left" vertical="center"/>
    </xf>
    <xf numFmtId="0" fontId="5" fillId="0" borderId="15" xfId="0" applyNumberFormat="1" applyFont="1" applyBorder="1" applyAlignment="1">
      <alignment horizontal="center" vertical="center"/>
    </xf>
    <xf numFmtId="0" fontId="5" fillId="0" borderId="14" xfId="0" applyNumberFormat="1" applyFont="1" applyBorder="1" applyAlignment="1">
      <alignment horizontal="center" vertical="center"/>
    </xf>
    <xf numFmtId="0" fontId="5" fillId="0" borderId="16" xfId="0" applyNumberFormat="1" applyFont="1" applyBorder="1" applyAlignment="1">
      <alignment horizontal="center" vertical="center"/>
    </xf>
    <xf numFmtId="15" fontId="17" fillId="0" borderId="15" xfId="0" applyNumberFormat="1" applyFont="1" applyBorder="1" applyAlignment="1">
      <alignment horizontal="center" vertical="center"/>
    </xf>
    <xf numFmtId="0" fontId="1" fillId="2" borderId="37" xfId="0" applyFont="1" applyFill="1" applyBorder="1" applyAlignment="1">
      <alignment horizontal="center"/>
    </xf>
    <xf numFmtId="0" fontId="17" fillId="0" borderId="14" xfId="0" applyFont="1" applyBorder="1" applyAlignment="1">
      <alignment horizontal="center" vertical="center"/>
    </xf>
    <xf numFmtId="15" fontId="17" fillId="0" borderId="14" xfId="0" applyNumberFormat="1" applyFont="1" applyBorder="1" applyAlignment="1">
      <alignment horizontal="center" vertical="center"/>
    </xf>
    <xf numFmtId="0" fontId="5" fillId="4" borderId="41" xfId="0" applyFont="1" applyFill="1" applyBorder="1" applyAlignment="1">
      <alignment wrapText="1"/>
    </xf>
    <xf numFmtId="0" fontId="5" fillId="0" borderId="16" xfId="0" applyFont="1" applyBorder="1"/>
    <xf numFmtId="0" fontId="5" fillId="4" borderId="5" xfId="0" applyFont="1" applyFill="1" applyBorder="1" applyAlignment="1"/>
    <xf numFmtId="0" fontId="12" fillId="4" borderId="24" xfId="0" applyFont="1" applyFill="1" applyBorder="1" applyAlignment="1"/>
    <xf numFmtId="0" fontId="5" fillId="6" borderId="15" xfId="0" applyNumberFormat="1" applyFont="1" applyFill="1" applyBorder="1" applyAlignment="1">
      <alignment horizontal="center" vertical="center"/>
    </xf>
    <xf numFmtId="0" fontId="5" fillId="6" borderId="16" xfId="0" applyNumberFormat="1" applyFont="1" applyFill="1" applyBorder="1" applyAlignment="1">
      <alignment horizontal="center" vertical="center"/>
    </xf>
    <xf numFmtId="0" fontId="5" fillId="4" borderId="43" xfId="0" applyFont="1" applyFill="1" applyBorder="1" applyAlignment="1">
      <alignment wrapText="1"/>
    </xf>
    <xf numFmtId="0" fontId="5" fillId="4" borderId="44" xfId="0" applyFont="1" applyFill="1" applyBorder="1" applyAlignment="1">
      <alignment wrapText="1"/>
    </xf>
    <xf numFmtId="0" fontId="5" fillId="0" borderId="8" xfId="0" applyFont="1" applyBorder="1" applyAlignment="1">
      <alignment horizontal="center" vertical="center"/>
    </xf>
    <xf numFmtId="0" fontId="9" fillId="0" borderId="21" xfId="0" applyFont="1" applyBorder="1" applyAlignment="1">
      <alignment horizontal="center" vertical="center"/>
    </xf>
    <xf numFmtId="0" fontId="0" fillId="0" borderId="21" xfId="0" applyBorder="1" applyAlignment="1">
      <alignment horizontal="left"/>
    </xf>
    <xf numFmtId="0" fontId="18" fillId="7" borderId="21" xfId="0" applyFont="1" applyFill="1" applyBorder="1" applyAlignment="1">
      <alignment horizontal="center"/>
    </xf>
    <xf numFmtId="166" fontId="0" fillId="0" borderId="14" xfId="0" applyNumberFormat="1" applyBorder="1" applyAlignment="1">
      <alignment horizontal="center" vertical="center"/>
    </xf>
    <xf numFmtId="0" fontId="5" fillId="0" borderId="8" xfId="0" applyFont="1" applyBorder="1" applyAlignment="1">
      <alignment horizontal="center" vertical="center"/>
    </xf>
    <xf numFmtId="0" fontId="19" fillId="0" borderId="14" xfId="0" applyFont="1" applyBorder="1" applyAlignment="1">
      <alignment horizontal="center" vertical="center"/>
    </xf>
    <xf numFmtId="15" fontId="19" fillId="0" borderId="14" xfId="0" applyNumberFormat="1" applyFont="1" applyBorder="1" applyAlignment="1">
      <alignment horizontal="center" vertical="center"/>
    </xf>
    <xf numFmtId="0" fontId="20" fillId="0" borderId="16" xfId="0" applyFont="1" applyBorder="1" applyAlignment="1">
      <alignment vertical="center"/>
    </xf>
    <xf numFmtId="0" fontId="20" fillId="0" borderId="16" xfId="0" applyNumberFormat="1" applyFont="1" applyBorder="1" applyAlignment="1">
      <alignment vertical="center"/>
    </xf>
    <xf numFmtId="15" fontId="19" fillId="0" borderId="15" xfId="0" applyNumberFormat="1" applyFont="1" applyBorder="1" applyAlignment="1">
      <alignment horizontal="center" vertical="center"/>
    </xf>
    <xf numFmtId="165" fontId="19" fillId="0" borderId="14" xfId="0" applyNumberFormat="1" applyFont="1" applyBorder="1" applyAlignment="1">
      <alignment horizontal="center" vertical="center"/>
    </xf>
    <xf numFmtId="0" fontId="5" fillId="8" borderId="14" xfId="0" applyNumberFormat="1" applyFont="1" applyFill="1" applyBorder="1" applyAlignment="1">
      <alignment horizontal="center" vertical="center"/>
    </xf>
    <xf numFmtId="0" fontId="5" fillId="8" borderId="16" xfId="0" applyFont="1" applyFill="1" applyBorder="1"/>
    <xf numFmtId="0" fontId="5" fillId="0" borderId="0" xfId="0" applyNumberFormat="1" applyFont="1" applyBorder="1" applyAlignment="1">
      <alignment horizontal="center" vertical="center"/>
    </xf>
    <xf numFmtId="0" fontId="2" fillId="0" borderId="0" xfId="0" applyFont="1" applyBorder="1"/>
    <xf numFmtId="0" fontId="19" fillId="0" borderId="14" xfId="0" applyNumberFormat="1" applyFont="1" applyBorder="1" applyAlignment="1">
      <alignment horizontal="center" vertical="center"/>
    </xf>
    <xf numFmtId="164" fontId="10" fillId="5" borderId="8" xfId="0" applyNumberFormat="1" applyFont="1" applyFill="1" applyBorder="1" applyAlignment="1">
      <alignment horizontal="center" vertical="center" wrapText="1"/>
    </xf>
    <xf numFmtId="0" fontId="14" fillId="3" borderId="25" xfId="0" applyFont="1" applyFill="1" applyBorder="1" applyAlignment="1"/>
    <xf numFmtId="0" fontId="10" fillId="0" borderId="8" xfId="0" applyFont="1" applyBorder="1" applyAlignment="1">
      <alignment vertical="center"/>
    </xf>
    <xf numFmtId="0" fontId="5" fillId="0" borderId="9" xfId="0" applyFont="1" applyBorder="1" applyAlignment="1">
      <alignment horizontal="center" vertical="center"/>
    </xf>
    <xf numFmtId="0" fontId="5" fillId="0" borderId="19" xfId="0" applyFont="1" applyBorder="1" applyAlignment="1">
      <alignment horizontal="center" vertical="center"/>
    </xf>
    <xf numFmtId="0" fontId="10" fillId="0" borderId="18" xfId="0" applyFont="1" applyBorder="1" applyAlignment="1">
      <alignment vertical="center"/>
    </xf>
    <xf numFmtId="0" fontId="10" fillId="0" borderId="17" xfId="0" applyFont="1" applyBorder="1" applyAlignment="1">
      <alignment vertical="center"/>
    </xf>
    <xf numFmtId="0" fontId="0" fillId="0" borderId="0" xfId="0" pivotButton="1"/>
    <xf numFmtId="0" fontId="5" fillId="4" borderId="24" xfId="0" applyFont="1" applyFill="1" applyBorder="1" applyAlignment="1"/>
    <xf numFmtId="0" fontId="0" fillId="0" borderId="21" xfId="0" applyBorder="1"/>
    <xf numFmtId="0" fontId="0" fillId="0" borderId="21" xfId="0" applyBorder="1" applyAlignment="1">
      <alignment horizontal="center"/>
    </xf>
    <xf numFmtId="0" fontId="9" fillId="0" borderId="14" xfId="0" applyFont="1" applyBorder="1" applyAlignment="1">
      <alignment horizontal="center"/>
    </xf>
    <xf numFmtId="0" fontId="9" fillId="0" borderId="16" xfId="0" applyFont="1" applyBorder="1" applyAlignment="1">
      <alignment horizontal="center"/>
    </xf>
    <xf numFmtId="0" fontId="1" fillId="0" borderId="0" xfId="0" applyFont="1" applyAlignment="1">
      <alignment horizontal="left" vertical="center"/>
    </xf>
    <xf numFmtId="0" fontId="9" fillId="0" borderId="17" xfId="0" applyFont="1" applyBorder="1" applyAlignment="1">
      <alignment horizontal="center" vertical="center"/>
    </xf>
    <xf numFmtId="0" fontId="9" fillId="0" borderId="18" xfId="0" applyFont="1" applyBorder="1" applyAlignment="1">
      <alignment horizontal="center" vertical="center"/>
    </xf>
    <xf numFmtId="0" fontId="9" fillId="0" borderId="17" xfId="0" applyFont="1" applyBorder="1" applyAlignment="1">
      <alignment horizontal="center" wrapText="1"/>
    </xf>
    <xf numFmtId="0" fontId="9" fillId="0" borderId="18" xfId="0" applyFont="1" applyBorder="1" applyAlignment="1">
      <alignment horizontal="center" wrapText="1"/>
    </xf>
    <xf numFmtId="0" fontId="9" fillId="5" borderId="19" xfId="0" applyFont="1" applyFill="1" applyBorder="1" applyAlignment="1">
      <alignment horizontal="center"/>
    </xf>
    <xf numFmtId="0" fontId="9" fillId="5" borderId="28" xfId="0" applyFont="1" applyFill="1" applyBorder="1" applyAlignment="1">
      <alignment horizontal="center"/>
    </xf>
    <xf numFmtId="0" fontId="1" fillId="5" borderId="21" xfId="0" applyFont="1" applyFill="1" applyBorder="1" applyAlignment="1">
      <alignment horizontal="center" vertical="center"/>
    </xf>
    <xf numFmtId="0" fontId="1" fillId="5" borderId="21" xfId="0" applyFont="1" applyFill="1" applyBorder="1" applyAlignment="1">
      <alignment horizontal="center" vertical="center" wrapText="1"/>
    </xf>
    <xf numFmtId="0" fontId="1" fillId="0" borderId="21" xfId="0" applyFont="1" applyBorder="1" applyAlignment="1">
      <alignment horizontal="center"/>
    </xf>
    <xf numFmtId="0" fontId="9" fillId="5" borderId="21" xfId="0" applyFont="1" applyFill="1" applyBorder="1" applyAlignment="1">
      <alignment horizontal="center" vertical="top" wrapText="1"/>
    </xf>
    <xf numFmtId="0" fontId="9" fillId="5" borderId="18" xfId="0" applyFont="1" applyFill="1" applyBorder="1" applyAlignment="1">
      <alignment horizontal="center"/>
    </xf>
    <xf numFmtId="0" fontId="10" fillId="0" borderId="8" xfId="0" applyFont="1" applyBorder="1" applyAlignment="1">
      <alignment horizontal="center" vertical="center"/>
    </xf>
    <xf numFmtId="0" fontId="10" fillId="0" borderId="8" xfId="0" applyNumberFormat="1" applyFont="1" applyBorder="1" applyAlignment="1">
      <alignment horizontal="center" vertical="center"/>
    </xf>
    <xf numFmtId="0" fontId="5" fillId="0" borderId="4" xfId="0" applyFont="1" applyBorder="1" applyAlignment="1">
      <alignment horizontal="center" vertical="center" wrapText="1"/>
    </xf>
    <xf numFmtId="0" fontId="5" fillId="0" borderId="8" xfId="0" applyFont="1" applyBorder="1" applyAlignment="1">
      <alignment horizontal="center" vertical="center" wrapText="1"/>
    </xf>
    <xf numFmtId="0" fontId="5" fillId="0" borderId="7" xfId="0" applyFont="1" applyBorder="1" applyAlignment="1">
      <alignment horizontal="center" vertical="center" wrapText="1"/>
    </xf>
    <xf numFmtId="0" fontId="5" fillId="0" borderId="4" xfId="0" applyFont="1" applyBorder="1" applyAlignment="1">
      <alignment horizontal="center" vertical="center"/>
    </xf>
    <xf numFmtId="0" fontId="5" fillId="0" borderId="8" xfId="0" applyFont="1" applyBorder="1" applyAlignment="1">
      <alignment horizontal="center" vertical="center"/>
    </xf>
    <xf numFmtId="0" fontId="5" fillId="0" borderId="7" xfId="0" applyFont="1" applyBorder="1" applyAlignment="1">
      <alignment horizontal="center" vertical="center"/>
    </xf>
    <xf numFmtId="0" fontId="5" fillId="0" borderId="26" xfId="0" applyFont="1" applyBorder="1" applyAlignment="1">
      <alignment horizontal="center" vertical="center"/>
    </xf>
    <xf numFmtId="0" fontId="5" fillId="0" borderId="10" xfId="0" applyFont="1" applyBorder="1" applyAlignment="1">
      <alignment horizontal="center" vertical="center"/>
    </xf>
    <xf numFmtId="0" fontId="5" fillId="0" borderId="28" xfId="0" applyFont="1" applyBorder="1" applyAlignment="1">
      <alignment horizontal="center" vertical="center"/>
    </xf>
    <xf numFmtId="0" fontId="1" fillId="2" borderId="22" xfId="0" applyFont="1" applyFill="1" applyBorder="1" applyAlignment="1">
      <alignment horizontal="center"/>
    </xf>
    <xf numFmtId="0" fontId="1" fillId="2" borderId="23"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30" xfId="0" applyFont="1" applyFill="1" applyBorder="1" applyAlignment="1">
      <alignment horizontal="center"/>
    </xf>
    <xf numFmtId="0" fontId="14" fillId="3" borderId="25" xfId="0" applyFont="1" applyFill="1" applyBorder="1" applyAlignment="1">
      <alignment horizontal="center"/>
    </xf>
    <xf numFmtId="0" fontId="14" fillId="3" borderId="12" xfId="0" applyFont="1" applyFill="1" applyBorder="1" applyAlignment="1">
      <alignment horizontal="center"/>
    </xf>
    <xf numFmtId="0" fontId="12" fillId="4" borderId="36" xfId="0" applyFont="1" applyFill="1" applyBorder="1" applyAlignment="1">
      <alignment horizontal="center"/>
    </xf>
    <xf numFmtId="0" fontId="12" fillId="4" borderId="3" xfId="0" applyFont="1" applyFill="1" applyBorder="1" applyAlignment="1">
      <alignment horizontal="center"/>
    </xf>
    <xf numFmtId="0" fontId="10" fillId="0" borderId="9" xfId="0" applyFont="1" applyBorder="1" applyAlignment="1">
      <alignment horizontal="center" vertical="center"/>
    </xf>
    <xf numFmtId="0" fontId="3" fillId="0" borderId="0" xfId="0" applyFont="1" applyAlignment="1">
      <alignment horizontal="center"/>
    </xf>
    <xf numFmtId="0" fontId="1" fillId="2" borderId="1"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4"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34" xfId="0" applyFont="1" applyFill="1" applyBorder="1" applyAlignment="1">
      <alignment horizontal="center" vertical="center"/>
    </xf>
    <xf numFmtId="0" fontId="1" fillId="2" borderId="35" xfId="0" applyFont="1" applyFill="1" applyBorder="1" applyAlignment="1">
      <alignment horizontal="center" vertical="center"/>
    </xf>
    <xf numFmtId="0" fontId="1" fillId="0" borderId="0" xfId="0" applyFont="1" applyAlignment="1">
      <alignment horizontal="center"/>
    </xf>
    <xf numFmtId="164" fontId="2" fillId="0" borderId="0" xfId="0" applyNumberFormat="1" applyFont="1" applyAlignment="1">
      <alignment horizontal="center"/>
    </xf>
    <xf numFmtId="164" fontId="10" fillId="5" borderId="40" xfId="0" applyNumberFormat="1" applyFont="1" applyFill="1" applyBorder="1" applyAlignment="1">
      <alignment horizontal="center" vertical="center" wrapText="1"/>
    </xf>
    <xf numFmtId="164" fontId="10" fillId="5" borderId="36" xfId="0" applyNumberFormat="1" applyFont="1" applyFill="1" applyBorder="1" applyAlignment="1">
      <alignment horizontal="center" vertical="center" wrapText="1"/>
    </xf>
    <xf numFmtId="164" fontId="10" fillId="5" borderId="42" xfId="0" applyNumberFormat="1" applyFont="1" applyFill="1" applyBorder="1" applyAlignment="1">
      <alignment horizontal="center" vertical="center" wrapText="1"/>
    </xf>
    <xf numFmtId="164" fontId="10" fillId="5" borderId="0" xfId="0" applyNumberFormat="1" applyFont="1" applyFill="1" applyBorder="1" applyAlignment="1">
      <alignment horizontal="center" vertical="center" wrapText="1"/>
    </xf>
    <xf numFmtId="164" fontId="10" fillId="5" borderId="38" xfId="0" applyNumberFormat="1" applyFont="1" applyFill="1" applyBorder="1" applyAlignment="1">
      <alignment horizontal="center" vertical="center" wrapText="1"/>
    </xf>
    <xf numFmtId="164" fontId="10" fillId="5" borderId="39" xfId="0" applyNumberFormat="1" applyFont="1" applyFill="1" applyBorder="1" applyAlignment="1">
      <alignment horizontal="center" vertical="center" wrapText="1"/>
    </xf>
    <xf numFmtId="0" fontId="1" fillId="5" borderId="45" xfId="0" applyFont="1" applyFill="1" applyBorder="1" applyAlignment="1">
      <alignment horizontal="center" vertical="center" wrapText="1"/>
    </xf>
    <xf numFmtId="0" fontId="1" fillId="5" borderId="46" xfId="0" applyFont="1" applyFill="1" applyBorder="1" applyAlignment="1">
      <alignment horizontal="center" vertical="center" wrapText="1"/>
    </xf>
    <xf numFmtId="0" fontId="1" fillId="5" borderId="47" xfId="0" applyFont="1" applyFill="1" applyBorder="1" applyAlignment="1">
      <alignment horizontal="center" vertical="center" wrapText="1"/>
    </xf>
    <xf numFmtId="0" fontId="1" fillId="0" borderId="25" xfId="0" applyFont="1" applyBorder="1" applyAlignment="1">
      <alignment horizontal="center"/>
    </xf>
    <xf numFmtId="0" fontId="1" fillId="0" borderId="12" xfId="0" applyFont="1" applyBorder="1" applyAlignment="1">
      <alignment horizontal="center"/>
    </xf>
    <xf numFmtId="0" fontId="1" fillId="2" borderId="31" xfId="0" applyFont="1" applyFill="1" applyBorder="1" applyAlignment="1">
      <alignment horizontal="center"/>
    </xf>
    <xf numFmtId="0" fontId="1" fillId="2" borderId="29" xfId="0" applyFont="1" applyFill="1" applyBorder="1" applyAlignment="1">
      <alignment horizontal="center"/>
    </xf>
    <xf numFmtId="0" fontId="5" fillId="0" borderId="21" xfId="0" applyFont="1" applyBorder="1" applyAlignment="1">
      <alignment horizontal="center" vertical="center"/>
    </xf>
    <xf numFmtId="0" fontId="5" fillId="0" borderId="21" xfId="0" applyFont="1" applyBorder="1" applyAlignment="1">
      <alignment horizontal="center" vertical="center" wrapText="1"/>
    </xf>
    <xf numFmtId="0" fontId="0" fillId="0" borderId="21" xfId="0" applyBorder="1" applyAlignment="1">
      <alignment horizontal="center" vertical="center"/>
    </xf>
    <xf numFmtId="0" fontId="0" fillId="0" borderId="21" xfId="0" applyBorder="1" applyAlignment="1">
      <alignment horizontal="center" vertical="center" wrapText="1"/>
    </xf>
    <xf numFmtId="0" fontId="5" fillId="4" borderId="5" xfId="0" applyFont="1" applyFill="1" applyBorder="1" applyAlignment="1">
      <alignment horizontal="center"/>
    </xf>
    <xf numFmtId="0" fontId="5" fillId="4" borderId="24" xfId="0" applyFont="1" applyFill="1" applyBorder="1" applyAlignment="1">
      <alignment horizontal="center"/>
    </xf>
    <xf numFmtId="0" fontId="1" fillId="2" borderId="32" xfId="0" applyFont="1" applyFill="1" applyBorder="1" applyAlignment="1">
      <alignment horizontal="center"/>
    </xf>
    <xf numFmtId="164" fontId="5" fillId="5" borderId="0" xfId="0" applyNumberFormat="1" applyFont="1" applyFill="1" applyBorder="1" applyAlignment="1">
      <alignment horizontal="center" vertical="center" wrapText="1"/>
    </xf>
    <xf numFmtId="164" fontId="5" fillId="5" borderId="20" xfId="0" applyNumberFormat="1" applyFont="1" applyFill="1" applyBorder="1" applyAlignment="1">
      <alignment horizontal="center" vertical="center" wrapText="1"/>
    </xf>
    <xf numFmtId="0" fontId="1" fillId="2" borderId="33" xfId="0" applyFont="1" applyFill="1" applyBorder="1" applyAlignment="1">
      <alignment horizontal="center"/>
    </xf>
  </cellXfs>
  <cellStyles count="2">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4.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calcChain" Target="calcChain.xml"/><Relationship Id="rId5" Type="http://schemas.openxmlformats.org/officeDocument/2006/relationships/pivotCacheDefinition" Target="pivotCache/pivotCacheDefinition2.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198782</xdr:colOff>
      <xdr:row>0</xdr:row>
      <xdr:rowOff>74544</xdr:rowOff>
    </xdr:from>
    <xdr:to>
      <xdr:col>2</xdr:col>
      <xdr:colOff>621195</xdr:colOff>
      <xdr:row>2</xdr:row>
      <xdr:rowOff>97341</xdr:rowOff>
    </xdr:to>
    <xdr:pic>
      <xdr:nvPicPr>
        <xdr:cNvPr id="2" name="Picture 1">
          <a:extLst>
            <a:ext uri="{FF2B5EF4-FFF2-40B4-BE49-F238E27FC236}">
              <a16:creationId xmlns:a16="http://schemas.microsoft.com/office/drawing/2014/main" xmlns="" id="{10577C9C-E513-4198-84C5-85E10A3D89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8782" y="74544"/>
          <a:ext cx="1648239" cy="4037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44904</xdr:colOff>
      <xdr:row>0</xdr:row>
      <xdr:rowOff>67178</xdr:rowOff>
    </xdr:from>
    <xdr:to>
      <xdr:col>6</xdr:col>
      <xdr:colOff>1721696</xdr:colOff>
      <xdr:row>1</xdr:row>
      <xdr:rowOff>38100</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29198" y="67178"/>
          <a:ext cx="2024174" cy="49479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44904</xdr:colOff>
      <xdr:row>0</xdr:row>
      <xdr:rowOff>67178</xdr:rowOff>
    </xdr:from>
    <xdr:to>
      <xdr:col>6</xdr:col>
      <xdr:colOff>1721695</xdr:colOff>
      <xdr:row>2</xdr:row>
      <xdr:rowOff>180975</xdr:rowOff>
    </xdr:to>
    <xdr:pic>
      <xdr:nvPicPr>
        <xdr:cNvPr id="2" name="Picture 1">
          <a:extLst>
            <a:ext uri="{FF2B5EF4-FFF2-40B4-BE49-F238E27FC236}">
              <a16:creationId xmlns:a16="http://schemas.microsoft.com/office/drawing/2014/main" xmlns="" id="{AFB76AF7-B2CA-41C2-9EF1-F4E9237525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73779" y="67178"/>
          <a:ext cx="2019691" cy="49479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Docon Comment" refreshedDate="44564.87111388889" createdVersion="5" refreshedVersion="5" minRefreshableVersion="3" recordCount="84">
  <cacheSource type="worksheet">
    <worksheetSource ref="A15:E99" sheet="CIVIL"/>
  </cacheSource>
  <cacheFields count="5">
    <cacheField name="No Doc" numFmtId="0">
      <sharedItems containsBlank="1" count="7">
        <s v="NPK-000-A4-DW-025"/>
        <m/>
        <s v="NPK-000-A4-DW-026"/>
        <s v="NPK-000-A4-DW-028"/>
        <s v="NPK-000-A7-DW-011"/>
        <s v="NPK-000-A7-DW-012"/>
        <s v=""/>
      </sharedItems>
    </cacheField>
    <cacheField name="Title" numFmtId="0">
      <sharedItems containsBlank="1" count="7">
        <s v="LIVING QUARTER FOUNDATION PLAN,DETAIL, SECTION AND MEMBER SCHEDULE"/>
        <m/>
        <s v="LIVING QUARTER FLOOR PLAN"/>
        <s v="LIVING QUARTER FRAMING ELEV LINE "/>
        <s v="LIVING QUARTER FLOOR PLAN 1ST FLOOR , FLOOR PLAN 2ND FLOOR"/>
        <s v="LIVING QUARTER ROOF PLAN , VIEW AND FIN SCHEDULE"/>
        <s v=""/>
      </sharedItems>
    </cacheField>
    <cacheField name="Days" numFmtId="0">
      <sharedItems containsBlank="1" containsMixedTypes="1" containsNumber="1" containsInteger="1" minValue="366" maxValue="31831" count="5">
        <s v=""/>
        <n v="31831"/>
        <m/>
        <n v="371"/>
        <n v="366"/>
      </sharedItems>
    </cacheField>
    <cacheField name="CODE 4" numFmtId="0">
      <sharedItems containsBlank="1"/>
    </cacheField>
    <cacheField name="Code 42" numFmtId="0">
      <sharedItems containsBlank="1" containsMixedTypes="1" containsNumber="1" containsInteger="1" minValue="366" maxValue="37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ocon Comment" refreshedDate="44564.871700462965" createdVersion="6" refreshedVersion="5" minRefreshableVersion="3" recordCount="63">
  <cacheSource type="worksheet">
    <worksheetSource ref="A15:E78" sheet="CIVIL"/>
  </cacheSource>
  <cacheFields count="5">
    <cacheField name="No Doc" numFmtId="0">
      <sharedItems containsBlank="1" count="7">
        <s v="NPK-000-A4-DW-025"/>
        <m/>
        <s v="NPK-000-A4-DW-026"/>
        <s v="NPK-000-A4-DW-028"/>
        <s v="NPK-000-A7-DW-011"/>
        <s v="NPK-000-A7-DW-012"/>
        <s v=""/>
      </sharedItems>
    </cacheField>
    <cacheField name="Title" numFmtId="0">
      <sharedItems containsBlank="1" count="7">
        <s v="LIVING QUARTER FOUNDATION PLAN,DETAIL, SECTION AND MEMBER SCHEDULE"/>
        <m/>
        <s v="LIVING QUARTER FLOOR PLAN"/>
        <s v="LIVING QUARTER FRAMING ELEV LINE "/>
        <s v="LIVING QUARTER FLOOR PLAN 1ST FLOOR , FLOOR PLAN 2ND FLOOR"/>
        <s v="LIVING QUARTER ROOF PLAN , VIEW AND FIN SCHEDULE"/>
        <s v=""/>
      </sharedItems>
    </cacheField>
    <cacheField name="Days" numFmtId="0">
      <sharedItems containsBlank="1" containsMixedTypes="1" containsNumber="1" containsInteger="1" minValue="366" maxValue="31831"/>
    </cacheField>
    <cacheField name="CODE 4" numFmtId="0">
      <sharedItems containsBlank="1"/>
    </cacheField>
    <cacheField name="Code 42" numFmtId="0">
      <sharedItems containsBlank="1" containsMixedTypes="1" containsNumber="1" containsInteger="1" minValue="6" maxValue="371" count="8">
        <n v="371"/>
        <s v=""/>
        <m/>
        <n v="368"/>
        <n v="366"/>
        <n v="11" u="1"/>
        <n v="6" u="1"/>
        <n v="8"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Docon Comment" refreshedDate="44564.87209016204" createdVersion="6" refreshedVersion="5" minRefreshableVersion="3" recordCount="84">
  <cacheSource type="worksheet">
    <worksheetSource ref="A15:C99" sheet="MECHANICAL"/>
  </cacheSource>
  <cacheFields count="3">
    <cacheField name="No Doc" numFmtId="0">
      <sharedItems containsBlank="1" count="7">
        <s v="NPK-300-R1-GS-4001-K"/>
        <m/>
        <s v="NPK-300-R3-GS-4001-K"/>
        <s v="NPK-300-R7-GS-4001-K"/>
        <s v="NPK-700-T3-DS-TK701-K"/>
        <s v="NPK-800-T2-DS-TK801-K"/>
        <s v=""/>
      </sharedItems>
    </cacheField>
    <cacheField name="Title" numFmtId="0">
      <sharedItems containsBlank="1" count="7">
        <s v="SPECIFICATION FOR CENTRIFUGAL PUMP"/>
        <m/>
        <s v="SPECIFICATION FOR FAN AND BLOWER "/>
        <s v="SPECIFICATION FOR CRUSHER "/>
        <s v="MECHANICAL DATA SHEET PHOSPORIC ACID STORAGE TANK (81-TK-701 A/B)"/>
        <s v="MECHANICAL DATA SHEET SHULPURIC ACID STORAGE TANK (81-TK-801 A/B)"/>
        <s v=""/>
      </sharedItems>
    </cacheField>
    <cacheField name="Days" numFmtId="0">
      <sharedItems containsBlank="1" containsMixedTypes="1" containsNumber="1" containsInteger="1" minValue="1" maxValue="31831" count="8">
        <s v=""/>
        <n v="31831"/>
        <m/>
        <n v="371"/>
        <n v="361"/>
        <n v="11" u="1"/>
        <n v="31471" u="1"/>
        <n v="1"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Docon Comment" refreshedDate="44564.872224884261" createdVersion="6" refreshedVersion="5" minRefreshableVersion="3" recordCount="84">
  <cacheSource type="worksheet">
    <worksheetSource ref="A15:E99" sheet="MECHANICAL"/>
  </cacheSource>
  <cacheFields count="5">
    <cacheField name="No Doc" numFmtId="0">
      <sharedItems containsBlank="1" count="7">
        <s v="NPK-300-R1-GS-4001-K"/>
        <m/>
        <s v="NPK-300-R3-GS-4001-K"/>
        <s v="NPK-300-R7-GS-4001-K"/>
        <s v="NPK-700-T3-DS-TK701-K"/>
        <s v="NPK-800-T2-DS-TK801-K"/>
        <s v=""/>
      </sharedItems>
    </cacheField>
    <cacheField name="Title" numFmtId="0">
      <sharedItems containsBlank="1" count="7">
        <s v="SPECIFICATION FOR CENTRIFUGAL PUMP"/>
        <m/>
        <s v="SPECIFICATION FOR FAN AND BLOWER "/>
        <s v="SPECIFICATION FOR CRUSHER "/>
        <s v="MECHANICAL DATA SHEET PHOSPORIC ACID STORAGE TANK (81-TK-701 A/B)"/>
        <s v="MECHANICAL DATA SHEET SHULPURIC ACID STORAGE TANK (81-TK-801 A/B)"/>
        <s v=""/>
      </sharedItems>
    </cacheField>
    <cacheField name="Days" numFmtId="0">
      <sharedItems containsBlank="1" containsMixedTypes="1" containsNumber="1" containsInteger="1" minValue="361" maxValue="31831"/>
    </cacheField>
    <cacheField name="CODE 4" numFmtId="0">
      <sharedItems containsBlank="1"/>
    </cacheField>
    <cacheField name="Code 42" numFmtId="0">
      <sharedItems containsBlank="1" containsMixedTypes="1" containsNumber="1" containsInteger="1" minValue="6" maxValue="371" count="8">
        <n v="371"/>
        <s v=""/>
        <m/>
        <n v="368"/>
        <n v="366"/>
        <n v="11" u="1"/>
        <n v="6" u="1"/>
        <n v="8"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4">
  <r>
    <x v="0"/>
    <x v="0"/>
    <x v="0"/>
    <s v="APPROVED WITH COMMENT"/>
    <n v="371"/>
  </r>
  <r>
    <x v="0"/>
    <x v="0"/>
    <x v="1"/>
    <m/>
    <s v=""/>
  </r>
  <r>
    <x v="0"/>
    <x v="0"/>
    <x v="1"/>
    <m/>
    <s v=""/>
  </r>
  <r>
    <x v="0"/>
    <x v="0"/>
    <x v="1"/>
    <m/>
    <s v=""/>
  </r>
  <r>
    <x v="0"/>
    <x v="0"/>
    <x v="1"/>
    <m/>
    <s v=""/>
  </r>
  <r>
    <x v="0"/>
    <x v="0"/>
    <x v="1"/>
    <m/>
    <m/>
  </r>
  <r>
    <x v="1"/>
    <x v="1"/>
    <x v="2"/>
    <m/>
    <m/>
  </r>
  <r>
    <x v="2"/>
    <x v="2"/>
    <x v="0"/>
    <s v="APPROVED"/>
    <s v=""/>
  </r>
  <r>
    <x v="2"/>
    <x v="2"/>
    <x v="0"/>
    <m/>
    <n v="368"/>
  </r>
  <r>
    <x v="2"/>
    <x v="2"/>
    <x v="1"/>
    <m/>
    <s v=""/>
  </r>
  <r>
    <x v="2"/>
    <x v="2"/>
    <x v="1"/>
    <m/>
    <s v=""/>
  </r>
  <r>
    <x v="2"/>
    <x v="2"/>
    <x v="1"/>
    <m/>
    <s v=""/>
  </r>
  <r>
    <x v="2"/>
    <x v="2"/>
    <x v="1"/>
    <m/>
    <m/>
  </r>
  <r>
    <x v="1"/>
    <x v="1"/>
    <x v="2"/>
    <m/>
    <m/>
  </r>
  <r>
    <x v="3"/>
    <x v="3"/>
    <x v="0"/>
    <s v="APPROVED WITH COMMENT"/>
    <s v=""/>
  </r>
  <r>
    <x v="3"/>
    <x v="3"/>
    <x v="3"/>
    <m/>
    <s v=""/>
  </r>
  <r>
    <x v="3"/>
    <x v="3"/>
    <x v="1"/>
    <m/>
    <s v=""/>
  </r>
  <r>
    <x v="3"/>
    <x v="3"/>
    <x v="1"/>
    <m/>
    <s v=""/>
  </r>
  <r>
    <x v="3"/>
    <x v="3"/>
    <x v="1"/>
    <m/>
    <s v=""/>
  </r>
  <r>
    <x v="3"/>
    <x v="3"/>
    <x v="1"/>
    <m/>
    <m/>
  </r>
  <r>
    <x v="1"/>
    <x v="1"/>
    <x v="2"/>
    <m/>
    <m/>
  </r>
  <r>
    <x v="4"/>
    <x v="4"/>
    <x v="0"/>
    <s v="APPROVED WITH COMMENT"/>
    <s v=""/>
  </r>
  <r>
    <x v="4"/>
    <x v="4"/>
    <x v="0"/>
    <m/>
    <s v=""/>
  </r>
  <r>
    <x v="4"/>
    <x v="4"/>
    <x v="4"/>
    <m/>
    <s v=""/>
  </r>
  <r>
    <x v="4"/>
    <x v="4"/>
    <x v="1"/>
    <m/>
    <s v=""/>
  </r>
  <r>
    <x v="4"/>
    <x v="4"/>
    <x v="1"/>
    <m/>
    <s v=""/>
  </r>
  <r>
    <x v="4"/>
    <x v="4"/>
    <x v="1"/>
    <m/>
    <m/>
  </r>
  <r>
    <x v="1"/>
    <x v="1"/>
    <x v="2"/>
    <m/>
    <m/>
  </r>
  <r>
    <x v="5"/>
    <x v="5"/>
    <x v="0"/>
    <s v="NOT APPROVED"/>
    <s v=""/>
  </r>
  <r>
    <x v="5"/>
    <x v="5"/>
    <x v="0"/>
    <m/>
    <s v=""/>
  </r>
  <r>
    <x v="5"/>
    <x v="5"/>
    <x v="0"/>
    <m/>
    <n v="366"/>
  </r>
  <r>
    <x v="5"/>
    <x v="5"/>
    <x v="1"/>
    <m/>
    <s v=""/>
  </r>
  <r>
    <x v="5"/>
    <x v="5"/>
    <x v="1"/>
    <m/>
    <s v=""/>
  </r>
  <r>
    <x v="5"/>
    <x v="5"/>
    <x v="1"/>
    <m/>
    <m/>
  </r>
  <r>
    <x v="1"/>
    <x v="1"/>
    <x v="2"/>
    <m/>
    <m/>
  </r>
  <r>
    <x v="6"/>
    <x v="6"/>
    <x v="1"/>
    <s v=""/>
    <s v=""/>
  </r>
  <r>
    <x v="6"/>
    <x v="6"/>
    <x v="1"/>
    <m/>
    <s v=""/>
  </r>
  <r>
    <x v="6"/>
    <x v="6"/>
    <x v="1"/>
    <m/>
    <s v=""/>
  </r>
  <r>
    <x v="6"/>
    <x v="6"/>
    <x v="1"/>
    <m/>
    <s v=""/>
  </r>
  <r>
    <x v="6"/>
    <x v="6"/>
    <x v="1"/>
    <m/>
    <s v=""/>
  </r>
  <r>
    <x v="6"/>
    <x v="6"/>
    <x v="1"/>
    <m/>
    <m/>
  </r>
  <r>
    <x v="1"/>
    <x v="1"/>
    <x v="2"/>
    <m/>
    <m/>
  </r>
  <r>
    <x v="6"/>
    <x v="6"/>
    <x v="1"/>
    <s v=""/>
    <s v=""/>
  </r>
  <r>
    <x v="6"/>
    <x v="6"/>
    <x v="1"/>
    <m/>
    <s v=""/>
  </r>
  <r>
    <x v="6"/>
    <x v="6"/>
    <x v="1"/>
    <m/>
    <s v=""/>
  </r>
  <r>
    <x v="6"/>
    <x v="6"/>
    <x v="1"/>
    <m/>
    <s v=""/>
  </r>
  <r>
    <x v="6"/>
    <x v="6"/>
    <x v="1"/>
    <m/>
    <s v=""/>
  </r>
  <r>
    <x v="6"/>
    <x v="6"/>
    <x v="1"/>
    <m/>
    <m/>
  </r>
  <r>
    <x v="1"/>
    <x v="1"/>
    <x v="2"/>
    <m/>
    <m/>
  </r>
  <r>
    <x v="6"/>
    <x v="6"/>
    <x v="1"/>
    <s v=""/>
    <s v=""/>
  </r>
  <r>
    <x v="6"/>
    <x v="6"/>
    <x v="1"/>
    <m/>
    <s v=""/>
  </r>
  <r>
    <x v="6"/>
    <x v="6"/>
    <x v="1"/>
    <m/>
    <s v=""/>
  </r>
  <r>
    <x v="6"/>
    <x v="6"/>
    <x v="1"/>
    <m/>
    <s v=""/>
  </r>
  <r>
    <x v="6"/>
    <x v="6"/>
    <x v="1"/>
    <m/>
    <s v=""/>
  </r>
  <r>
    <x v="6"/>
    <x v="6"/>
    <x v="1"/>
    <m/>
    <m/>
  </r>
  <r>
    <x v="1"/>
    <x v="1"/>
    <x v="2"/>
    <m/>
    <m/>
  </r>
  <r>
    <x v="6"/>
    <x v="6"/>
    <x v="1"/>
    <s v=""/>
    <s v=""/>
  </r>
  <r>
    <x v="6"/>
    <x v="6"/>
    <x v="1"/>
    <m/>
    <s v=""/>
  </r>
  <r>
    <x v="6"/>
    <x v="6"/>
    <x v="1"/>
    <m/>
    <s v=""/>
  </r>
  <r>
    <x v="6"/>
    <x v="6"/>
    <x v="1"/>
    <m/>
    <s v=""/>
  </r>
  <r>
    <x v="6"/>
    <x v="6"/>
    <x v="1"/>
    <m/>
    <s v=""/>
  </r>
  <r>
    <x v="6"/>
    <x v="6"/>
    <x v="1"/>
    <m/>
    <m/>
  </r>
  <r>
    <x v="1"/>
    <x v="1"/>
    <x v="2"/>
    <m/>
    <m/>
  </r>
  <r>
    <x v="6"/>
    <x v="6"/>
    <x v="1"/>
    <s v=""/>
    <s v=""/>
  </r>
  <r>
    <x v="6"/>
    <x v="6"/>
    <x v="1"/>
    <m/>
    <s v=""/>
  </r>
  <r>
    <x v="6"/>
    <x v="6"/>
    <x v="1"/>
    <m/>
    <s v=""/>
  </r>
  <r>
    <x v="6"/>
    <x v="6"/>
    <x v="1"/>
    <m/>
    <s v=""/>
  </r>
  <r>
    <x v="6"/>
    <x v="6"/>
    <x v="1"/>
    <m/>
    <s v=""/>
  </r>
  <r>
    <x v="6"/>
    <x v="6"/>
    <x v="1"/>
    <m/>
    <m/>
  </r>
  <r>
    <x v="1"/>
    <x v="1"/>
    <x v="2"/>
    <m/>
    <m/>
  </r>
  <r>
    <x v="6"/>
    <x v="6"/>
    <x v="1"/>
    <s v=""/>
    <s v=""/>
  </r>
  <r>
    <x v="6"/>
    <x v="6"/>
    <x v="1"/>
    <m/>
    <s v=""/>
  </r>
  <r>
    <x v="6"/>
    <x v="6"/>
    <x v="1"/>
    <m/>
    <s v=""/>
  </r>
  <r>
    <x v="6"/>
    <x v="6"/>
    <x v="1"/>
    <m/>
    <s v=""/>
  </r>
  <r>
    <x v="6"/>
    <x v="6"/>
    <x v="1"/>
    <m/>
    <s v=""/>
  </r>
  <r>
    <x v="6"/>
    <x v="6"/>
    <x v="1"/>
    <m/>
    <m/>
  </r>
  <r>
    <x v="1"/>
    <x v="1"/>
    <x v="2"/>
    <m/>
    <m/>
  </r>
  <r>
    <x v="6"/>
    <x v="6"/>
    <x v="1"/>
    <s v=""/>
    <s v=""/>
  </r>
  <r>
    <x v="6"/>
    <x v="6"/>
    <x v="1"/>
    <m/>
    <s v=""/>
  </r>
  <r>
    <x v="6"/>
    <x v="6"/>
    <x v="1"/>
    <m/>
    <s v=""/>
  </r>
  <r>
    <x v="6"/>
    <x v="6"/>
    <x v="1"/>
    <m/>
    <s v=""/>
  </r>
  <r>
    <x v="6"/>
    <x v="6"/>
    <x v="1"/>
    <m/>
    <s v=""/>
  </r>
  <r>
    <x v="6"/>
    <x v="6"/>
    <x v="1"/>
    <m/>
    <m/>
  </r>
  <r>
    <x v="1"/>
    <x v="1"/>
    <x v="2"/>
    <m/>
    <m/>
  </r>
</pivotCacheRecords>
</file>

<file path=xl/pivotCache/pivotCacheRecords2.xml><?xml version="1.0" encoding="utf-8"?>
<pivotCacheRecords xmlns="http://schemas.openxmlformats.org/spreadsheetml/2006/main" xmlns:r="http://schemas.openxmlformats.org/officeDocument/2006/relationships" count="63">
  <r>
    <x v="0"/>
    <x v="0"/>
    <s v=""/>
    <s v="APPROVED WITH COMMENT"/>
    <x v="0"/>
  </r>
  <r>
    <x v="0"/>
    <x v="0"/>
    <n v="31831"/>
    <m/>
    <x v="1"/>
  </r>
  <r>
    <x v="0"/>
    <x v="0"/>
    <n v="31831"/>
    <m/>
    <x v="1"/>
  </r>
  <r>
    <x v="0"/>
    <x v="0"/>
    <n v="31831"/>
    <m/>
    <x v="1"/>
  </r>
  <r>
    <x v="0"/>
    <x v="0"/>
    <n v="31831"/>
    <m/>
    <x v="1"/>
  </r>
  <r>
    <x v="0"/>
    <x v="0"/>
    <n v="31831"/>
    <m/>
    <x v="2"/>
  </r>
  <r>
    <x v="1"/>
    <x v="1"/>
    <m/>
    <m/>
    <x v="2"/>
  </r>
  <r>
    <x v="2"/>
    <x v="2"/>
    <s v=""/>
    <s v="APPROVED"/>
    <x v="1"/>
  </r>
  <r>
    <x v="2"/>
    <x v="2"/>
    <s v=""/>
    <m/>
    <x v="3"/>
  </r>
  <r>
    <x v="2"/>
    <x v="2"/>
    <n v="31831"/>
    <m/>
    <x v="1"/>
  </r>
  <r>
    <x v="2"/>
    <x v="2"/>
    <n v="31831"/>
    <m/>
    <x v="1"/>
  </r>
  <r>
    <x v="2"/>
    <x v="2"/>
    <n v="31831"/>
    <m/>
    <x v="1"/>
  </r>
  <r>
    <x v="2"/>
    <x v="2"/>
    <n v="31831"/>
    <m/>
    <x v="2"/>
  </r>
  <r>
    <x v="1"/>
    <x v="1"/>
    <m/>
    <m/>
    <x v="2"/>
  </r>
  <r>
    <x v="3"/>
    <x v="3"/>
    <s v=""/>
    <s v="APPROVED WITH COMMENT"/>
    <x v="1"/>
  </r>
  <r>
    <x v="3"/>
    <x v="3"/>
    <n v="371"/>
    <m/>
    <x v="1"/>
  </r>
  <r>
    <x v="3"/>
    <x v="3"/>
    <n v="31831"/>
    <m/>
    <x v="1"/>
  </r>
  <r>
    <x v="3"/>
    <x v="3"/>
    <n v="31831"/>
    <m/>
    <x v="1"/>
  </r>
  <r>
    <x v="3"/>
    <x v="3"/>
    <n v="31831"/>
    <m/>
    <x v="1"/>
  </r>
  <r>
    <x v="3"/>
    <x v="3"/>
    <n v="31831"/>
    <m/>
    <x v="2"/>
  </r>
  <r>
    <x v="1"/>
    <x v="1"/>
    <m/>
    <m/>
    <x v="2"/>
  </r>
  <r>
    <x v="4"/>
    <x v="4"/>
    <s v=""/>
    <s v="APPROVED WITH COMMENT"/>
    <x v="1"/>
  </r>
  <r>
    <x v="4"/>
    <x v="4"/>
    <s v=""/>
    <m/>
    <x v="1"/>
  </r>
  <r>
    <x v="4"/>
    <x v="4"/>
    <n v="366"/>
    <m/>
    <x v="1"/>
  </r>
  <r>
    <x v="4"/>
    <x v="4"/>
    <n v="31831"/>
    <m/>
    <x v="1"/>
  </r>
  <r>
    <x v="4"/>
    <x v="4"/>
    <n v="31831"/>
    <m/>
    <x v="1"/>
  </r>
  <r>
    <x v="4"/>
    <x v="4"/>
    <n v="31831"/>
    <m/>
    <x v="2"/>
  </r>
  <r>
    <x v="1"/>
    <x v="1"/>
    <m/>
    <m/>
    <x v="2"/>
  </r>
  <r>
    <x v="5"/>
    <x v="5"/>
    <s v=""/>
    <s v="NOT APPROVED"/>
    <x v="1"/>
  </r>
  <r>
    <x v="5"/>
    <x v="5"/>
    <s v=""/>
    <m/>
    <x v="1"/>
  </r>
  <r>
    <x v="5"/>
    <x v="5"/>
    <s v=""/>
    <m/>
    <x v="4"/>
  </r>
  <r>
    <x v="5"/>
    <x v="5"/>
    <n v="31831"/>
    <m/>
    <x v="1"/>
  </r>
  <r>
    <x v="5"/>
    <x v="5"/>
    <n v="31831"/>
    <m/>
    <x v="1"/>
  </r>
  <r>
    <x v="5"/>
    <x v="5"/>
    <n v="31831"/>
    <m/>
    <x v="2"/>
  </r>
  <r>
    <x v="1"/>
    <x v="1"/>
    <m/>
    <m/>
    <x v="2"/>
  </r>
  <r>
    <x v="6"/>
    <x v="6"/>
    <n v="31831"/>
    <s v=""/>
    <x v="1"/>
  </r>
  <r>
    <x v="6"/>
    <x v="6"/>
    <n v="31831"/>
    <m/>
    <x v="1"/>
  </r>
  <r>
    <x v="6"/>
    <x v="6"/>
    <n v="31831"/>
    <m/>
    <x v="1"/>
  </r>
  <r>
    <x v="6"/>
    <x v="6"/>
    <n v="31831"/>
    <m/>
    <x v="1"/>
  </r>
  <r>
    <x v="6"/>
    <x v="6"/>
    <n v="31831"/>
    <m/>
    <x v="1"/>
  </r>
  <r>
    <x v="6"/>
    <x v="6"/>
    <n v="31831"/>
    <m/>
    <x v="2"/>
  </r>
  <r>
    <x v="1"/>
    <x v="1"/>
    <m/>
    <m/>
    <x v="2"/>
  </r>
  <r>
    <x v="6"/>
    <x v="6"/>
    <n v="31831"/>
    <s v=""/>
    <x v="1"/>
  </r>
  <r>
    <x v="6"/>
    <x v="6"/>
    <n v="31831"/>
    <m/>
    <x v="1"/>
  </r>
  <r>
    <x v="6"/>
    <x v="6"/>
    <n v="31831"/>
    <m/>
    <x v="1"/>
  </r>
  <r>
    <x v="6"/>
    <x v="6"/>
    <n v="31831"/>
    <m/>
    <x v="1"/>
  </r>
  <r>
    <x v="6"/>
    <x v="6"/>
    <n v="31831"/>
    <m/>
    <x v="1"/>
  </r>
  <r>
    <x v="6"/>
    <x v="6"/>
    <n v="31831"/>
    <m/>
    <x v="2"/>
  </r>
  <r>
    <x v="1"/>
    <x v="1"/>
    <m/>
    <m/>
    <x v="2"/>
  </r>
  <r>
    <x v="6"/>
    <x v="6"/>
    <n v="31831"/>
    <s v=""/>
    <x v="1"/>
  </r>
  <r>
    <x v="6"/>
    <x v="6"/>
    <n v="31831"/>
    <m/>
    <x v="1"/>
  </r>
  <r>
    <x v="6"/>
    <x v="6"/>
    <n v="31831"/>
    <m/>
    <x v="1"/>
  </r>
  <r>
    <x v="6"/>
    <x v="6"/>
    <n v="31831"/>
    <m/>
    <x v="1"/>
  </r>
  <r>
    <x v="6"/>
    <x v="6"/>
    <n v="31831"/>
    <m/>
    <x v="1"/>
  </r>
  <r>
    <x v="6"/>
    <x v="6"/>
    <n v="31831"/>
    <m/>
    <x v="2"/>
  </r>
  <r>
    <x v="1"/>
    <x v="1"/>
    <m/>
    <m/>
    <x v="2"/>
  </r>
  <r>
    <x v="6"/>
    <x v="6"/>
    <n v="31831"/>
    <s v=""/>
    <x v="1"/>
  </r>
  <r>
    <x v="6"/>
    <x v="6"/>
    <n v="31831"/>
    <m/>
    <x v="1"/>
  </r>
  <r>
    <x v="6"/>
    <x v="6"/>
    <n v="31831"/>
    <m/>
    <x v="1"/>
  </r>
  <r>
    <x v="6"/>
    <x v="6"/>
    <n v="31831"/>
    <m/>
    <x v="1"/>
  </r>
  <r>
    <x v="6"/>
    <x v="6"/>
    <n v="31831"/>
    <m/>
    <x v="1"/>
  </r>
  <r>
    <x v="6"/>
    <x v="6"/>
    <n v="31831"/>
    <m/>
    <x v="2"/>
  </r>
  <r>
    <x v="1"/>
    <x v="1"/>
    <m/>
    <m/>
    <x v="2"/>
  </r>
</pivotCacheRecords>
</file>

<file path=xl/pivotCache/pivotCacheRecords3.xml><?xml version="1.0" encoding="utf-8"?>
<pivotCacheRecords xmlns="http://schemas.openxmlformats.org/spreadsheetml/2006/main" xmlns:r="http://schemas.openxmlformats.org/officeDocument/2006/relationships" count="84">
  <r>
    <x v="0"/>
    <x v="0"/>
    <x v="0"/>
  </r>
  <r>
    <x v="0"/>
    <x v="0"/>
    <x v="1"/>
  </r>
  <r>
    <x v="0"/>
    <x v="0"/>
    <x v="1"/>
  </r>
  <r>
    <x v="0"/>
    <x v="0"/>
    <x v="1"/>
  </r>
  <r>
    <x v="0"/>
    <x v="0"/>
    <x v="1"/>
  </r>
  <r>
    <x v="0"/>
    <x v="0"/>
    <x v="1"/>
  </r>
  <r>
    <x v="1"/>
    <x v="1"/>
    <x v="2"/>
  </r>
  <r>
    <x v="2"/>
    <x v="2"/>
    <x v="0"/>
  </r>
  <r>
    <x v="2"/>
    <x v="2"/>
    <x v="0"/>
  </r>
  <r>
    <x v="2"/>
    <x v="2"/>
    <x v="1"/>
  </r>
  <r>
    <x v="2"/>
    <x v="2"/>
    <x v="1"/>
  </r>
  <r>
    <x v="2"/>
    <x v="2"/>
    <x v="1"/>
  </r>
  <r>
    <x v="2"/>
    <x v="2"/>
    <x v="1"/>
  </r>
  <r>
    <x v="1"/>
    <x v="1"/>
    <x v="2"/>
  </r>
  <r>
    <x v="3"/>
    <x v="3"/>
    <x v="0"/>
  </r>
  <r>
    <x v="3"/>
    <x v="3"/>
    <x v="3"/>
  </r>
  <r>
    <x v="3"/>
    <x v="3"/>
    <x v="1"/>
  </r>
  <r>
    <x v="3"/>
    <x v="3"/>
    <x v="1"/>
  </r>
  <r>
    <x v="3"/>
    <x v="3"/>
    <x v="1"/>
  </r>
  <r>
    <x v="3"/>
    <x v="3"/>
    <x v="1"/>
  </r>
  <r>
    <x v="1"/>
    <x v="1"/>
    <x v="2"/>
  </r>
  <r>
    <x v="4"/>
    <x v="4"/>
    <x v="0"/>
  </r>
  <r>
    <x v="4"/>
    <x v="4"/>
    <x v="0"/>
  </r>
  <r>
    <x v="4"/>
    <x v="4"/>
    <x v="0"/>
  </r>
  <r>
    <x v="4"/>
    <x v="4"/>
    <x v="1"/>
  </r>
  <r>
    <x v="4"/>
    <x v="4"/>
    <x v="1"/>
  </r>
  <r>
    <x v="4"/>
    <x v="4"/>
    <x v="1"/>
  </r>
  <r>
    <x v="1"/>
    <x v="1"/>
    <x v="2"/>
  </r>
  <r>
    <x v="5"/>
    <x v="5"/>
    <x v="0"/>
  </r>
  <r>
    <x v="5"/>
    <x v="5"/>
    <x v="0"/>
  </r>
  <r>
    <x v="5"/>
    <x v="5"/>
    <x v="0"/>
  </r>
  <r>
    <x v="5"/>
    <x v="5"/>
    <x v="4"/>
  </r>
  <r>
    <x v="5"/>
    <x v="5"/>
    <x v="1"/>
  </r>
  <r>
    <x v="5"/>
    <x v="5"/>
    <x v="1"/>
  </r>
  <r>
    <x v="1"/>
    <x v="1"/>
    <x v="2"/>
  </r>
  <r>
    <x v="6"/>
    <x v="6"/>
    <x v="1"/>
  </r>
  <r>
    <x v="6"/>
    <x v="6"/>
    <x v="1"/>
  </r>
  <r>
    <x v="6"/>
    <x v="6"/>
    <x v="1"/>
  </r>
  <r>
    <x v="6"/>
    <x v="6"/>
    <x v="1"/>
  </r>
  <r>
    <x v="6"/>
    <x v="6"/>
    <x v="1"/>
  </r>
  <r>
    <x v="6"/>
    <x v="6"/>
    <x v="1"/>
  </r>
  <r>
    <x v="1"/>
    <x v="1"/>
    <x v="2"/>
  </r>
  <r>
    <x v="6"/>
    <x v="6"/>
    <x v="1"/>
  </r>
  <r>
    <x v="6"/>
    <x v="6"/>
    <x v="1"/>
  </r>
  <r>
    <x v="6"/>
    <x v="6"/>
    <x v="1"/>
  </r>
  <r>
    <x v="6"/>
    <x v="6"/>
    <x v="1"/>
  </r>
  <r>
    <x v="6"/>
    <x v="6"/>
    <x v="1"/>
  </r>
  <r>
    <x v="6"/>
    <x v="6"/>
    <x v="1"/>
  </r>
  <r>
    <x v="1"/>
    <x v="1"/>
    <x v="2"/>
  </r>
  <r>
    <x v="6"/>
    <x v="6"/>
    <x v="1"/>
  </r>
  <r>
    <x v="6"/>
    <x v="6"/>
    <x v="1"/>
  </r>
  <r>
    <x v="6"/>
    <x v="6"/>
    <x v="1"/>
  </r>
  <r>
    <x v="6"/>
    <x v="6"/>
    <x v="1"/>
  </r>
  <r>
    <x v="6"/>
    <x v="6"/>
    <x v="1"/>
  </r>
  <r>
    <x v="6"/>
    <x v="6"/>
    <x v="1"/>
  </r>
  <r>
    <x v="1"/>
    <x v="1"/>
    <x v="2"/>
  </r>
  <r>
    <x v="6"/>
    <x v="6"/>
    <x v="1"/>
  </r>
  <r>
    <x v="6"/>
    <x v="6"/>
    <x v="1"/>
  </r>
  <r>
    <x v="6"/>
    <x v="6"/>
    <x v="1"/>
  </r>
  <r>
    <x v="6"/>
    <x v="6"/>
    <x v="1"/>
  </r>
  <r>
    <x v="6"/>
    <x v="6"/>
    <x v="1"/>
  </r>
  <r>
    <x v="6"/>
    <x v="6"/>
    <x v="1"/>
  </r>
  <r>
    <x v="1"/>
    <x v="1"/>
    <x v="2"/>
  </r>
  <r>
    <x v="6"/>
    <x v="6"/>
    <x v="1"/>
  </r>
  <r>
    <x v="6"/>
    <x v="6"/>
    <x v="1"/>
  </r>
  <r>
    <x v="6"/>
    <x v="6"/>
    <x v="1"/>
  </r>
  <r>
    <x v="6"/>
    <x v="6"/>
    <x v="1"/>
  </r>
  <r>
    <x v="6"/>
    <x v="6"/>
    <x v="1"/>
  </r>
  <r>
    <x v="6"/>
    <x v="6"/>
    <x v="1"/>
  </r>
  <r>
    <x v="1"/>
    <x v="1"/>
    <x v="2"/>
  </r>
  <r>
    <x v="6"/>
    <x v="6"/>
    <x v="1"/>
  </r>
  <r>
    <x v="6"/>
    <x v="6"/>
    <x v="1"/>
  </r>
  <r>
    <x v="6"/>
    <x v="6"/>
    <x v="1"/>
  </r>
  <r>
    <x v="6"/>
    <x v="6"/>
    <x v="1"/>
  </r>
  <r>
    <x v="6"/>
    <x v="6"/>
    <x v="1"/>
  </r>
  <r>
    <x v="6"/>
    <x v="6"/>
    <x v="1"/>
  </r>
  <r>
    <x v="1"/>
    <x v="1"/>
    <x v="2"/>
  </r>
  <r>
    <x v="6"/>
    <x v="6"/>
    <x v="1"/>
  </r>
  <r>
    <x v="6"/>
    <x v="6"/>
    <x v="1"/>
  </r>
  <r>
    <x v="6"/>
    <x v="6"/>
    <x v="1"/>
  </r>
  <r>
    <x v="6"/>
    <x v="6"/>
    <x v="1"/>
  </r>
  <r>
    <x v="6"/>
    <x v="6"/>
    <x v="1"/>
  </r>
  <r>
    <x v="6"/>
    <x v="6"/>
    <x v="1"/>
  </r>
  <r>
    <x v="1"/>
    <x v="1"/>
    <x v="2"/>
  </r>
</pivotCacheRecords>
</file>

<file path=xl/pivotCache/pivotCacheRecords4.xml><?xml version="1.0" encoding="utf-8"?>
<pivotCacheRecords xmlns="http://schemas.openxmlformats.org/spreadsheetml/2006/main" xmlns:r="http://schemas.openxmlformats.org/officeDocument/2006/relationships" count="84">
  <r>
    <x v="0"/>
    <x v="0"/>
    <s v=""/>
    <s v="APPROVED WITH COMMENT"/>
    <x v="0"/>
  </r>
  <r>
    <x v="0"/>
    <x v="0"/>
    <n v="31831"/>
    <m/>
    <x v="1"/>
  </r>
  <r>
    <x v="0"/>
    <x v="0"/>
    <n v="31831"/>
    <m/>
    <x v="1"/>
  </r>
  <r>
    <x v="0"/>
    <x v="0"/>
    <n v="31831"/>
    <m/>
    <x v="1"/>
  </r>
  <r>
    <x v="0"/>
    <x v="0"/>
    <n v="31831"/>
    <m/>
    <x v="1"/>
  </r>
  <r>
    <x v="0"/>
    <x v="0"/>
    <n v="31831"/>
    <m/>
    <x v="2"/>
  </r>
  <r>
    <x v="1"/>
    <x v="1"/>
    <m/>
    <m/>
    <x v="2"/>
  </r>
  <r>
    <x v="2"/>
    <x v="2"/>
    <s v=""/>
    <s v="APPROVED"/>
    <x v="1"/>
  </r>
  <r>
    <x v="2"/>
    <x v="2"/>
    <s v=""/>
    <m/>
    <x v="3"/>
  </r>
  <r>
    <x v="2"/>
    <x v="2"/>
    <n v="31831"/>
    <m/>
    <x v="1"/>
  </r>
  <r>
    <x v="2"/>
    <x v="2"/>
    <n v="31831"/>
    <m/>
    <x v="1"/>
  </r>
  <r>
    <x v="2"/>
    <x v="2"/>
    <n v="31831"/>
    <m/>
    <x v="1"/>
  </r>
  <r>
    <x v="2"/>
    <x v="2"/>
    <n v="31831"/>
    <m/>
    <x v="2"/>
  </r>
  <r>
    <x v="1"/>
    <x v="1"/>
    <m/>
    <m/>
    <x v="2"/>
  </r>
  <r>
    <x v="3"/>
    <x v="3"/>
    <s v=""/>
    <s v="APPROVED WITH COMMENT"/>
    <x v="1"/>
  </r>
  <r>
    <x v="3"/>
    <x v="3"/>
    <n v="371"/>
    <m/>
    <x v="1"/>
  </r>
  <r>
    <x v="3"/>
    <x v="3"/>
    <n v="31831"/>
    <m/>
    <x v="1"/>
  </r>
  <r>
    <x v="3"/>
    <x v="3"/>
    <n v="31831"/>
    <m/>
    <x v="1"/>
  </r>
  <r>
    <x v="3"/>
    <x v="3"/>
    <n v="31831"/>
    <m/>
    <x v="1"/>
  </r>
  <r>
    <x v="3"/>
    <x v="3"/>
    <n v="31831"/>
    <m/>
    <x v="2"/>
  </r>
  <r>
    <x v="1"/>
    <x v="1"/>
    <m/>
    <m/>
    <x v="2"/>
  </r>
  <r>
    <x v="4"/>
    <x v="4"/>
    <s v=""/>
    <s v="NOT APPROVED"/>
    <x v="1"/>
  </r>
  <r>
    <x v="4"/>
    <x v="4"/>
    <s v=""/>
    <m/>
    <x v="1"/>
  </r>
  <r>
    <x v="4"/>
    <x v="4"/>
    <s v=""/>
    <m/>
    <x v="4"/>
  </r>
  <r>
    <x v="4"/>
    <x v="4"/>
    <n v="31831"/>
    <m/>
    <x v="1"/>
  </r>
  <r>
    <x v="4"/>
    <x v="4"/>
    <n v="31831"/>
    <m/>
    <x v="1"/>
  </r>
  <r>
    <x v="4"/>
    <x v="4"/>
    <n v="31831"/>
    <m/>
    <x v="2"/>
  </r>
  <r>
    <x v="1"/>
    <x v="1"/>
    <m/>
    <m/>
    <x v="2"/>
  </r>
  <r>
    <x v="5"/>
    <x v="5"/>
    <s v=""/>
    <s v="NOT APPROVED"/>
    <x v="1"/>
  </r>
  <r>
    <x v="5"/>
    <x v="5"/>
    <s v=""/>
    <m/>
    <x v="1"/>
  </r>
  <r>
    <x v="5"/>
    <x v="5"/>
    <s v=""/>
    <m/>
    <x v="1"/>
  </r>
  <r>
    <x v="5"/>
    <x v="5"/>
    <n v="361"/>
    <m/>
    <x v="1"/>
  </r>
  <r>
    <x v="5"/>
    <x v="5"/>
    <n v="31831"/>
    <m/>
    <x v="1"/>
  </r>
  <r>
    <x v="5"/>
    <x v="5"/>
    <n v="31831"/>
    <m/>
    <x v="2"/>
  </r>
  <r>
    <x v="1"/>
    <x v="1"/>
    <m/>
    <m/>
    <x v="2"/>
  </r>
  <r>
    <x v="6"/>
    <x v="6"/>
    <n v="31831"/>
    <s v=""/>
    <x v="1"/>
  </r>
  <r>
    <x v="6"/>
    <x v="6"/>
    <n v="31831"/>
    <m/>
    <x v="1"/>
  </r>
  <r>
    <x v="6"/>
    <x v="6"/>
    <n v="31831"/>
    <m/>
    <x v="1"/>
  </r>
  <r>
    <x v="6"/>
    <x v="6"/>
    <n v="31831"/>
    <m/>
    <x v="1"/>
  </r>
  <r>
    <x v="6"/>
    <x v="6"/>
    <n v="31831"/>
    <m/>
    <x v="1"/>
  </r>
  <r>
    <x v="6"/>
    <x v="6"/>
    <n v="31831"/>
    <m/>
    <x v="2"/>
  </r>
  <r>
    <x v="1"/>
    <x v="1"/>
    <m/>
    <m/>
    <x v="2"/>
  </r>
  <r>
    <x v="6"/>
    <x v="6"/>
    <n v="31831"/>
    <s v=""/>
    <x v="1"/>
  </r>
  <r>
    <x v="6"/>
    <x v="6"/>
    <n v="31831"/>
    <m/>
    <x v="1"/>
  </r>
  <r>
    <x v="6"/>
    <x v="6"/>
    <n v="31831"/>
    <m/>
    <x v="1"/>
  </r>
  <r>
    <x v="6"/>
    <x v="6"/>
    <n v="31831"/>
    <m/>
    <x v="1"/>
  </r>
  <r>
    <x v="6"/>
    <x v="6"/>
    <n v="31831"/>
    <m/>
    <x v="1"/>
  </r>
  <r>
    <x v="6"/>
    <x v="6"/>
    <n v="31831"/>
    <m/>
    <x v="2"/>
  </r>
  <r>
    <x v="1"/>
    <x v="1"/>
    <m/>
    <m/>
    <x v="2"/>
  </r>
  <r>
    <x v="6"/>
    <x v="6"/>
    <n v="31831"/>
    <s v=""/>
    <x v="1"/>
  </r>
  <r>
    <x v="6"/>
    <x v="6"/>
    <n v="31831"/>
    <m/>
    <x v="1"/>
  </r>
  <r>
    <x v="6"/>
    <x v="6"/>
    <n v="31831"/>
    <m/>
    <x v="1"/>
  </r>
  <r>
    <x v="6"/>
    <x v="6"/>
    <n v="31831"/>
    <m/>
    <x v="1"/>
  </r>
  <r>
    <x v="6"/>
    <x v="6"/>
    <n v="31831"/>
    <m/>
    <x v="1"/>
  </r>
  <r>
    <x v="6"/>
    <x v="6"/>
    <n v="31831"/>
    <m/>
    <x v="2"/>
  </r>
  <r>
    <x v="1"/>
    <x v="1"/>
    <m/>
    <m/>
    <x v="2"/>
  </r>
  <r>
    <x v="6"/>
    <x v="6"/>
    <n v="31831"/>
    <s v=""/>
    <x v="1"/>
  </r>
  <r>
    <x v="6"/>
    <x v="6"/>
    <n v="31831"/>
    <m/>
    <x v="1"/>
  </r>
  <r>
    <x v="6"/>
    <x v="6"/>
    <n v="31831"/>
    <m/>
    <x v="1"/>
  </r>
  <r>
    <x v="6"/>
    <x v="6"/>
    <n v="31831"/>
    <m/>
    <x v="1"/>
  </r>
  <r>
    <x v="6"/>
    <x v="6"/>
    <n v="31831"/>
    <m/>
    <x v="1"/>
  </r>
  <r>
    <x v="6"/>
    <x v="6"/>
    <n v="31831"/>
    <m/>
    <x v="2"/>
  </r>
  <r>
    <x v="1"/>
    <x v="1"/>
    <m/>
    <m/>
    <x v="2"/>
  </r>
  <r>
    <x v="6"/>
    <x v="6"/>
    <n v="31831"/>
    <s v=""/>
    <x v="1"/>
  </r>
  <r>
    <x v="6"/>
    <x v="6"/>
    <n v="31831"/>
    <m/>
    <x v="1"/>
  </r>
  <r>
    <x v="6"/>
    <x v="6"/>
    <n v="31831"/>
    <m/>
    <x v="1"/>
  </r>
  <r>
    <x v="6"/>
    <x v="6"/>
    <n v="31831"/>
    <m/>
    <x v="1"/>
  </r>
  <r>
    <x v="6"/>
    <x v="6"/>
    <n v="31831"/>
    <m/>
    <x v="1"/>
  </r>
  <r>
    <x v="6"/>
    <x v="6"/>
    <n v="31831"/>
    <m/>
    <x v="2"/>
  </r>
  <r>
    <x v="1"/>
    <x v="1"/>
    <m/>
    <m/>
    <x v="2"/>
  </r>
  <r>
    <x v="6"/>
    <x v="6"/>
    <n v="31831"/>
    <s v=""/>
    <x v="1"/>
  </r>
  <r>
    <x v="6"/>
    <x v="6"/>
    <n v="31831"/>
    <m/>
    <x v="1"/>
  </r>
  <r>
    <x v="6"/>
    <x v="6"/>
    <n v="31831"/>
    <m/>
    <x v="1"/>
  </r>
  <r>
    <x v="6"/>
    <x v="6"/>
    <n v="31831"/>
    <m/>
    <x v="1"/>
  </r>
  <r>
    <x v="6"/>
    <x v="6"/>
    <n v="31831"/>
    <m/>
    <x v="1"/>
  </r>
  <r>
    <x v="6"/>
    <x v="6"/>
    <n v="31831"/>
    <m/>
    <x v="2"/>
  </r>
  <r>
    <x v="1"/>
    <x v="1"/>
    <m/>
    <m/>
    <x v="2"/>
  </r>
  <r>
    <x v="6"/>
    <x v="6"/>
    <n v="31831"/>
    <s v=""/>
    <x v="1"/>
  </r>
  <r>
    <x v="6"/>
    <x v="6"/>
    <n v="31831"/>
    <m/>
    <x v="1"/>
  </r>
  <r>
    <x v="6"/>
    <x v="6"/>
    <n v="31831"/>
    <m/>
    <x v="1"/>
  </r>
  <r>
    <x v="6"/>
    <x v="6"/>
    <n v="31831"/>
    <m/>
    <x v="1"/>
  </r>
  <r>
    <x v="6"/>
    <x v="6"/>
    <n v="31831"/>
    <m/>
    <x v="1"/>
  </r>
  <r>
    <x v="6"/>
    <x v="6"/>
    <n v="31831"/>
    <m/>
    <x v="2"/>
  </r>
  <r>
    <x v="1"/>
    <x v="1"/>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3" applyNumberFormats="0" applyBorderFormats="0" applyFontFormats="0" applyPatternFormats="0" applyAlignmentFormats="0" applyWidthHeightFormats="1" dataCaption="Values" updatedVersion="5" minRefreshableVersion="3" useAutoFormatting="1" rowGrandTotals="0" colGrandTotals="0" itemPrintTitles="1" createdVersion="6" indent="0" outline="1" outlineData="1" multipleFieldFilters="0" rowHeaderCaption="Internal Mechanical">
  <location ref="K14:K23" firstHeaderRow="1" firstDataRow="1" firstDataCol="1"/>
  <pivotFields count="5">
    <pivotField axis="axisRow" showAll="0">
      <items count="8">
        <item x="6"/>
        <item x="0"/>
        <item x="2"/>
        <item x="3"/>
        <item x="4"/>
        <item x="5"/>
        <item x="1"/>
        <item t="default"/>
      </items>
    </pivotField>
    <pivotField axis="axisRow" showAll="0">
      <items count="8">
        <item x="6"/>
        <item x="4"/>
        <item x="5"/>
        <item x="0"/>
        <item x="3"/>
        <item x="2"/>
        <item x="1"/>
        <item t="default"/>
      </items>
    </pivotField>
    <pivotField showAll="0"/>
    <pivotField showAll="0"/>
    <pivotField axis="axisRow" showAll="0">
      <items count="9">
        <item h="1" m="1" x="6"/>
        <item h="1" m="1" x="7"/>
        <item h="1" m="1" x="5"/>
        <item h="1" x="1"/>
        <item h="1" x="2"/>
        <item x="0"/>
        <item x="3"/>
        <item x="4"/>
        <item t="default"/>
      </items>
    </pivotField>
  </pivotFields>
  <rowFields count="3">
    <field x="4"/>
    <field x="0"/>
    <field x="1"/>
  </rowFields>
  <rowItems count="9">
    <i>
      <x v="5"/>
    </i>
    <i r="1">
      <x v="1"/>
    </i>
    <i r="2">
      <x v="3"/>
    </i>
    <i>
      <x v="6"/>
    </i>
    <i r="1">
      <x v="2"/>
    </i>
    <i r="2">
      <x v="5"/>
    </i>
    <i>
      <x v="7"/>
    </i>
    <i r="1">
      <x v="4"/>
    </i>
    <i r="2">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useAutoFormatting="1" rowGrandTotals="0" colGrandTotals="0" itemPrintTitles="1" createdVersion="6" indent="0" outline="1" outlineData="1" multipleFieldFilters="0" rowHeaderCaption="Internal Icivil">
  <location ref="I15:I24" firstHeaderRow="1" firstDataRow="1" firstDataCol="1"/>
  <pivotFields count="5">
    <pivotField axis="axisRow" showAll="0">
      <items count="8">
        <item x="6"/>
        <item x="0"/>
        <item x="2"/>
        <item x="3"/>
        <item x="4"/>
        <item x="5"/>
        <item x="1"/>
        <item t="default"/>
      </items>
    </pivotField>
    <pivotField axis="axisRow" showAll="0">
      <items count="8">
        <item x="6"/>
        <item x="2"/>
        <item x="4"/>
        <item x="0"/>
        <item x="3"/>
        <item x="5"/>
        <item x="1"/>
        <item t="default"/>
      </items>
    </pivotField>
    <pivotField showAll="0"/>
    <pivotField showAll="0"/>
    <pivotField axis="axisRow" showAll="0">
      <items count="9">
        <item h="1" m="1" x="6"/>
        <item h="1" m="1" x="7"/>
        <item h="1" m="1" x="5"/>
        <item h="1" x="1"/>
        <item h="1" x="2"/>
        <item x="0"/>
        <item x="3"/>
        <item x="4"/>
        <item t="default"/>
      </items>
    </pivotField>
  </pivotFields>
  <rowFields count="3">
    <field x="4"/>
    <field x="0"/>
    <field x="1"/>
  </rowFields>
  <rowItems count="9">
    <i>
      <x v="5"/>
    </i>
    <i r="1">
      <x v="1"/>
    </i>
    <i r="2">
      <x v="3"/>
    </i>
    <i>
      <x v="6"/>
    </i>
    <i r="1">
      <x v="2"/>
    </i>
    <i r="2">
      <x v="1"/>
    </i>
    <i>
      <x v="7"/>
    </i>
    <i r="1">
      <x v="5"/>
    </i>
    <i r="2">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rowGrandTotals="0" colGrandTotals="0" itemPrintTitles="1" createdVersion="6" indent="0" outline="1" outlineData="1" multipleFieldFilters="0" rowHeaderCaption="Mechanical Due Date">
  <location ref="K5:K11" firstHeaderRow="1" firstDataRow="1" firstDataCol="1"/>
  <pivotFields count="3">
    <pivotField axis="axisRow" showAll="0">
      <items count="8">
        <item x="6"/>
        <item x="0"/>
        <item x="2"/>
        <item x="3"/>
        <item x="4"/>
        <item x="5"/>
        <item x="1"/>
        <item t="default"/>
      </items>
    </pivotField>
    <pivotField axis="axisRow" showAll="0">
      <items count="8">
        <item x="6"/>
        <item x="4"/>
        <item x="5"/>
        <item x="0"/>
        <item x="3"/>
        <item x="2"/>
        <item x="1"/>
        <item t="default"/>
      </items>
    </pivotField>
    <pivotField axis="axisRow" showAll="0">
      <items count="9">
        <item h="1" m="1" x="7"/>
        <item h="1" m="1" x="5"/>
        <item h="1" m="1" x="6"/>
        <item h="1" x="0"/>
        <item h="1" x="2"/>
        <item h="1" x="1"/>
        <item x="3"/>
        <item x="4"/>
        <item t="default"/>
      </items>
    </pivotField>
  </pivotFields>
  <rowFields count="3">
    <field x="2"/>
    <field x="0"/>
    <field x="1"/>
  </rowFields>
  <rowItems count="6">
    <i>
      <x v="6"/>
    </i>
    <i r="1">
      <x v="3"/>
    </i>
    <i r="2">
      <x v="4"/>
    </i>
    <i>
      <x v="7"/>
    </i>
    <i r="1">
      <x v="5"/>
    </i>
    <i r="2">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rowGrandTotals="0" colGrandTotals="0" itemPrintTitles="1" createdVersion="6" indent="0" outline="1" outlineData="1" multipleFieldFilters="0" rowHeaderCaption="Civil Due Date">
  <location ref="I5:I11" firstHeaderRow="1" firstDataRow="1" firstDataCol="1"/>
  <pivotFields count="5">
    <pivotField axis="axisRow" showAll="0">
      <items count="8">
        <item x="6"/>
        <item x="0"/>
        <item x="2"/>
        <item x="3"/>
        <item x="4"/>
        <item x="5"/>
        <item x="1"/>
        <item t="default"/>
      </items>
    </pivotField>
    <pivotField axis="axisRow" showAll="0">
      <items count="8">
        <item x="6"/>
        <item x="2"/>
        <item x="4"/>
        <item x="0"/>
        <item x="3"/>
        <item x="5"/>
        <item x="1"/>
        <item t="default"/>
      </items>
    </pivotField>
    <pivotField axis="axisRow" showAll="0">
      <items count="6">
        <item h="1" x="0"/>
        <item h="1" x="2"/>
        <item h="1" x="1"/>
        <item x="3"/>
        <item x="4"/>
        <item t="default"/>
      </items>
    </pivotField>
    <pivotField showAll="0" defaultSubtotal="0"/>
    <pivotField showAll="0" defaultSubtotal="0"/>
  </pivotFields>
  <rowFields count="3">
    <field x="2"/>
    <field x="0"/>
    <field x="1"/>
  </rowFields>
  <rowItems count="6">
    <i>
      <x v="3"/>
    </i>
    <i r="1">
      <x v="3"/>
    </i>
    <i r="2">
      <x v="4"/>
    </i>
    <i>
      <x v="4"/>
    </i>
    <i r="1">
      <x v="4"/>
    </i>
    <i r="2">
      <x v="2"/>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4"/>
  <sheetViews>
    <sheetView tabSelected="1" zoomScale="70" zoomScaleNormal="70" workbookViewId="0">
      <selection activeCell="G9" sqref="G9"/>
    </sheetView>
  </sheetViews>
  <sheetFormatPr defaultRowHeight="15" x14ac:dyDescent="0.25"/>
  <cols>
    <col min="1" max="1" width="9.140625" customWidth="1"/>
    <col min="3" max="3" width="16.5703125" customWidth="1"/>
    <col min="4" max="4" width="18.5703125" customWidth="1"/>
    <col min="5" max="5" width="14.7109375" customWidth="1"/>
    <col min="6" max="6" width="16.85546875" customWidth="1"/>
    <col min="7" max="7" width="6.42578125" customWidth="1"/>
    <col min="8" max="8" width="14.85546875" customWidth="1"/>
    <col min="9" max="9" width="78.28515625" customWidth="1"/>
    <col min="10" max="10" width="10.140625" customWidth="1"/>
    <col min="11" max="11" width="74.85546875" customWidth="1"/>
    <col min="12" max="12" width="78.28515625" bestFit="1" customWidth="1"/>
    <col min="13" max="13" width="74.85546875" bestFit="1" customWidth="1"/>
    <col min="14" max="14" width="11.28515625" bestFit="1" customWidth="1"/>
  </cols>
  <sheetData>
    <row r="1" spans="1:11" x14ac:dyDescent="0.25">
      <c r="D1" s="1" t="s">
        <v>1</v>
      </c>
      <c r="E1" s="110" t="s">
        <v>48</v>
      </c>
      <c r="F1" s="110"/>
      <c r="G1" s="110"/>
      <c r="H1" s="110"/>
      <c r="I1" s="110"/>
      <c r="J1" s="110"/>
      <c r="K1" s="110"/>
    </row>
    <row r="2" spans="1:11" x14ac:dyDescent="0.25">
      <c r="D2" s="1" t="s">
        <v>2</v>
      </c>
      <c r="E2" s="20">
        <v>14045</v>
      </c>
      <c r="I2" s="4"/>
      <c r="J2" s="4"/>
    </row>
    <row r="5" spans="1:11" x14ac:dyDescent="0.25">
      <c r="A5" s="117" t="s">
        <v>21</v>
      </c>
      <c r="B5" s="117"/>
      <c r="C5" s="117" t="s">
        <v>22</v>
      </c>
      <c r="D5" s="117"/>
      <c r="E5" s="117"/>
      <c r="F5" s="117"/>
      <c r="G5" s="117"/>
      <c r="H5" s="117"/>
      <c r="I5" s="104" t="s">
        <v>96</v>
      </c>
      <c r="J5" s="104"/>
      <c r="K5" s="104" t="s">
        <v>95</v>
      </c>
    </row>
    <row r="6" spans="1:11" ht="15" customHeight="1" x14ac:dyDescent="0.25">
      <c r="A6" s="117"/>
      <c r="B6" s="117"/>
      <c r="C6" s="118" t="s">
        <v>29</v>
      </c>
      <c r="D6" s="118" t="s">
        <v>35</v>
      </c>
      <c r="E6" s="118" t="s">
        <v>27</v>
      </c>
      <c r="F6" s="118" t="s">
        <v>50</v>
      </c>
      <c r="G6" s="118" t="s">
        <v>86</v>
      </c>
      <c r="H6" s="120" t="s">
        <v>94</v>
      </c>
      <c r="I6" s="17">
        <v>371</v>
      </c>
      <c r="J6" s="17"/>
      <c r="K6" s="17">
        <v>371</v>
      </c>
    </row>
    <row r="7" spans="1:11" x14ac:dyDescent="0.25">
      <c r="A7" s="117"/>
      <c r="B7" s="117"/>
      <c r="C7" s="118"/>
      <c r="D7" s="118"/>
      <c r="E7" s="118"/>
      <c r="F7" s="118"/>
      <c r="G7" s="118"/>
      <c r="H7" s="120"/>
      <c r="I7" s="18" t="s">
        <v>61</v>
      </c>
      <c r="J7" s="18"/>
      <c r="K7" s="18" t="s">
        <v>71</v>
      </c>
    </row>
    <row r="8" spans="1:11" x14ac:dyDescent="0.25">
      <c r="A8" s="119" t="s">
        <v>84</v>
      </c>
      <c r="B8" s="119"/>
      <c r="C8" s="60">
        <f ca="1">CIVIL!W100</f>
        <v>1</v>
      </c>
      <c r="D8" s="60">
        <f ca="1">CIVIL!X100</f>
        <v>3</v>
      </c>
      <c r="E8" s="60">
        <f ca="1">CIVIL!Y100</f>
        <v>1</v>
      </c>
      <c r="F8" s="60">
        <f ca="1">CIVIL!Z100</f>
        <v>0</v>
      </c>
      <c r="G8" s="81">
        <f ca="1">CIVIL!$AA$100</f>
        <v>2</v>
      </c>
      <c r="H8" s="107">
        <f ca="1">CIVIL!AA100</f>
        <v>2</v>
      </c>
      <c r="I8" s="19" t="s">
        <v>62</v>
      </c>
      <c r="J8" s="19"/>
      <c r="K8" s="19" t="s">
        <v>72</v>
      </c>
    </row>
    <row r="9" spans="1:11" x14ac:dyDescent="0.25">
      <c r="A9" s="119" t="s">
        <v>85</v>
      </c>
      <c r="B9" s="119"/>
      <c r="C9" s="60">
        <f ca="1">MECHANICAL!W100</f>
        <v>1</v>
      </c>
      <c r="D9" s="60">
        <f ca="1">MECHANICAL!X100</f>
        <v>2</v>
      </c>
      <c r="E9" s="60">
        <f ca="1">MECHANICAL!Y100</f>
        <v>2</v>
      </c>
      <c r="F9" s="60">
        <f ca="1">MECHANICAL!Z100</f>
        <v>0</v>
      </c>
      <c r="G9" s="81">
        <f ca="1">MECHANICAL!A12</f>
        <v>0</v>
      </c>
      <c r="H9" s="107">
        <f ca="1">MECHANICAL!AA100</f>
        <v>2</v>
      </c>
      <c r="I9" s="17">
        <v>366</v>
      </c>
      <c r="J9" s="18"/>
      <c r="K9" s="17">
        <v>361</v>
      </c>
    </row>
    <row r="10" spans="1:11" x14ac:dyDescent="0.25">
      <c r="A10" s="119"/>
      <c r="B10" s="119"/>
      <c r="C10" s="60"/>
      <c r="D10" s="60"/>
      <c r="E10" s="60"/>
      <c r="F10" s="60"/>
      <c r="G10" s="82"/>
      <c r="H10" s="82"/>
      <c r="I10" s="18" t="s">
        <v>63</v>
      </c>
      <c r="J10" s="19"/>
      <c r="K10" s="18" t="s">
        <v>75</v>
      </c>
    </row>
    <row r="11" spans="1:11" x14ac:dyDescent="0.25">
      <c r="A11" s="119" t="s">
        <v>79</v>
      </c>
      <c r="B11" s="119"/>
      <c r="C11" s="83">
        <f ca="1">SUM(C8:C10)</f>
        <v>2</v>
      </c>
      <c r="D11" s="83">
        <f ca="1">SUM(D8:D10)</f>
        <v>5</v>
      </c>
      <c r="E11" s="83">
        <f ca="1">SUM(E8:E10)</f>
        <v>3</v>
      </c>
      <c r="F11" s="83">
        <f ca="1">SUM(F8:F10)</f>
        <v>0</v>
      </c>
      <c r="G11" s="83">
        <f ca="1">SUM(G8:G10)</f>
        <v>2</v>
      </c>
      <c r="H11" s="106"/>
      <c r="I11" s="19" t="s">
        <v>64</v>
      </c>
      <c r="J11" s="18"/>
      <c r="K11" s="19" t="s">
        <v>76</v>
      </c>
    </row>
    <row r="12" spans="1:11" x14ac:dyDescent="0.25">
      <c r="J12" s="19"/>
    </row>
    <row r="13" spans="1:11" x14ac:dyDescent="0.25">
      <c r="A13" s="121" t="s">
        <v>36</v>
      </c>
      <c r="B13" s="121"/>
      <c r="C13" s="121"/>
      <c r="D13" s="115" t="s">
        <v>25</v>
      </c>
      <c r="E13" s="116"/>
      <c r="J13" s="18"/>
    </row>
    <row r="14" spans="1:11" ht="15" customHeight="1" x14ac:dyDescent="0.25">
      <c r="A14" s="28" t="s">
        <v>37</v>
      </c>
      <c r="B14" s="108" t="s">
        <v>38</v>
      </c>
      <c r="C14" s="109"/>
      <c r="D14" s="30" t="s">
        <v>26</v>
      </c>
      <c r="E14" s="60" t="s">
        <v>24</v>
      </c>
      <c r="J14" s="104"/>
      <c r="K14" s="104" t="s">
        <v>98</v>
      </c>
    </row>
    <row r="15" spans="1:11" x14ac:dyDescent="0.25">
      <c r="A15" s="60" t="s">
        <v>39</v>
      </c>
      <c r="B15" s="108" t="s">
        <v>40</v>
      </c>
      <c r="C15" s="109"/>
      <c r="D15" s="111" t="s">
        <v>14</v>
      </c>
      <c r="E15" s="113" t="s">
        <v>23</v>
      </c>
      <c r="I15" s="104" t="s">
        <v>97</v>
      </c>
      <c r="J15" s="17"/>
      <c r="K15" s="17">
        <v>371</v>
      </c>
    </row>
    <row r="16" spans="1:11" x14ac:dyDescent="0.25">
      <c r="A16" s="60" t="s">
        <v>26</v>
      </c>
      <c r="B16" s="108" t="s">
        <v>41</v>
      </c>
      <c r="C16" s="109"/>
      <c r="D16" s="112"/>
      <c r="E16" s="114"/>
      <c r="I16" s="17">
        <v>371</v>
      </c>
      <c r="J16" s="18"/>
      <c r="K16" s="18" t="s">
        <v>67</v>
      </c>
    </row>
    <row r="17" spans="1:11" x14ac:dyDescent="0.25">
      <c r="A17" s="60" t="s">
        <v>15</v>
      </c>
      <c r="B17" s="108" t="s">
        <v>42</v>
      </c>
      <c r="C17" s="109"/>
      <c r="D17" s="61" t="s">
        <v>15</v>
      </c>
      <c r="E17" s="60" t="s">
        <v>27</v>
      </c>
      <c r="I17" s="18" t="s">
        <v>57</v>
      </c>
      <c r="J17" s="19"/>
      <c r="K17" s="19" t="s">
        <v>68</v>
      </c>
    </row>
    <row r="18" spans="1:11" x14ac:dyDescent="0.25">
      <c r="A18" s="29" t="s">
        <v>43</v>
      </c>
      <c r="B18" s="108" t="s">
        <v>24</v>
      </c>
      <c r="C18" s="109"/>
      <c r="D18" s="60" t="s">
        <v>49</v>
      </c>
      <c r="E18" s="60" t="s">
        <v>50</v>
      </c>
      <c r="I18" s="19" t="s">
        <v>58</v>
      </c>
      <c r="J18" s="17"/>
      <c r="K18" s="17">
        <v>368</v>
      </c>
    </row>
    <row r="19" spans="1:11" x14ac:dyDescent="0.25">
      <c r="A19" s="29" t="s">
        <v>44</v>
      </c>
      <c r="B19" s="108" t="s">
        <v>45</v>
      </c>
      <c r="C19" s="109"/>
      <c r="I19" s="17">
        <v>368</v>
      </c>
      <c r="J19" s="18"/>
      <c r="K19" s="18" t="s">
        <v>69</v>
      </c>
    </row>
    <row r="20" spans="1:11" x14ac:dyDescent="0.25">
      <c r="A20" s="29" t="s">
        <v>46</v>
      </c>
      <c r="B20" s="108" t="s">
        <v>47</v>
      </c>
      <c r="C20" s="109"/>
      <c r="I20" s="18" t="s">
        <v>59</v>
      </c>
      <c r="J20" s="19"/>
      <c r="K20" s="19" t="s">
        <v>70</v>
      </c>
    </row>
    <row r="21" spans="1:11" x14ac:dyDescent="0.25">
      <c r="I21" s="19" t="s">
        <v>60</v>
      </c>
      <c r="J21" s="17"/>
      <c r="K21" s="17">
        <v>366</v>
      </c>
    </row>
    <row r="22" spans="1:11" x14ac:dyDescent="0.25">
      <c r="I22" s="17">
        <v>366</v>
      </c>
      <c r="J22" s="18"/>
      <c r="K22" s="18" t="s">
        <v>73</v>
      </c>
    </row>
    <row r="23" spans="1:11" x14ac:dyDescent="0.25">
      <c r="I23" s="18" t="s">
        <v>65</v>
      </c>
      <c r="J23" s="19"/>
      <c r="K23" s="19" t="s">
        <v>74</v>
      </c>
    </row>
    <row r="24" spans="1:11" x14ac:dyDescent="0.25">
      <c r="I24" s="19" t="s">
        <v>66</v>
      </c>
    </row>
  </sheetData>
  <mergeCells count="24">
    <mergeCell ref="H6:H7"/>
    <mergeCell ref="C5:H5"/>
    <mergeCell ref="A11:B11"/>
    <mergeCell ref="B19:C19"/>
    <mergeCell ref="B18:C18"/>
    <mergeCell ref="B14:C14"/>
    <mergeCell ref="A10:B10"/>
    <mergeCell ref="A13:C13"/>
    <mergeCell ref="B20:C20"/>
    <mergeCell ref="B17:C17"/>
    <mergeCell ref="E1:K1"/>
    <mergeCell ref="D15:D16"/>
    <mergeCell ref="E15:E16"/>
    <mergeCell ref="D13:E13"/>
    <mergeCell ref="B15:C15"/>
    <mergeCell ref="B16:C16"/>
    <mergeCell ref="A5:B7"/>
    <mergeCell ref="C6:C7"/>
    <mergeCell ref="D6:D7"/>
    <mergeCell ref="E6:E7"/>
    <mergeCell ref="A8:B8"/>
    <mergeCell ref="A9:B9"/>
    <mergeCell ref="F6:F7"/>
    <mergeCell ref="G6:G7"/>
  </mergeCells>
  <pageMargins left="0.7" right="0.7" top="0.75" bottom="0.75" header="0.3" footer="0.3"/>
  <pageSetup orientation="portrait" horizontalDpi="300" verticalDpi="300" r:id="rId5"/>
  <drawing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79998168889431442"/>
    <pageSetUpPr fitToPage="1"/>
  </sheetPr>
  <dimension ref="A1:AL100"/>
  <sheetViews>
    <sheetView showGridLines="0" topLeftCell="L69" zoomScale="70" zoomScaleNormal="70" zoomScaleSheetLayoutView="100" workbookViewId="0">
      <selection activeCell="AA100" sqref="AA100"/>
    </sheetView>
  </sheetViews>
  <sheetFormatPr defaultColWidth="9.140625" defaultRowHeight="14.25" x14ac:dyDescent="0.2"/>
  <cols>
    <col min="1" max="1" width="8.85546875" style="2" customWidth="1"/>
    <col min="2" max="2" width="6" style="2" customWidth="1"/>
    <col min="3" max="3" width="9.7109375" style="2" customWidth="1"/>
    <col min="4" max="4" width="3.5703125" style="2" customWidth="1"/>
    <col min="5" max="5" width="8.28515625" style="2" customWidth="1"/>
    <col min="6" max="6" width="5.140625" style="2" customWidth="1"/>
    <col min="7" max="7" width="27.5703125" style="2" customWidth="1"/>
    <col min="8" max="8" width="44.5703125" style="2" customWidth="1"/>
    <col min="9" max="9" width="7.85546875" style="2" customWidth="1"/>
    <col min="10" max="10" width="11.140625" style="2" customWidth="1"/>
    <col min="11" max="11" width="29.7109375" style="2" customWidth="1"/>
    <col min="12" max="12" width="6.7109375" style="46" bestFit="1" customWidth="1"/>
    <col min="13" max="13" width="29.7109375" style="2" customWidth="1"/>
    <col min="14" max="14" width="5.85546875" style="46" customWidth="1"/>
    <col min="15" max="15" width="29.7109375" style="2" customWidth="1"/>
    <col min="16" max="16" width="5.7109375" style="46" customWidth="1"/>
    <col min="17" max="17" width="29.7109375" style="2" customWidth="1"/>
    <col min="18" max="18" width="8.28515625" style="46" customWidth="1"/>
    <col min="19" max="19" width="29.7109375" style="2" customWidth="1"/>
    <col min="20" max="20" width="5.85546875" style="46" customWidth="1"/>
    <col min="21" max="21" width="29.7109375" style="2" customWidth="1"/>
    <col min="22" max="22" width="4.28515625" style="46" customWidth="1"/>
    <col min="23" max="23" width="5.7109375" style="2" customWidth="1"/>
    <col min="24" max="24" width="4.85546875" style="2" customWidth="1"/>
    <col min="25" max="26" width="4.5703125" style="2" customWidth="1"/>
    <col min="27" max="27" width="12.140625" style="2" customWidth="1"/>
    <col min="28" max="28" width="7.28515625" style="2" customWidth="1"/>
    <col min="29" max="29" width="4.5703125" style="2" customWidth="1"/>
    <col min="30" max="30" width="6.42578125" style="2" customWidth="1"/>
    <col min="31" max="31" width="13.140625" style="2" customWidth="1"/>
    <col min="32" max="32" width="8.85546875" style="3" customWidth="1"/>
    <col min="33" max="33" width="11.5703125" style="2" bestFit="1" customWidth="1"/>
    <col min="34" max="34" width="7.28515625" style="2" bestFit="1" customWidth="1"/>
    <col min="35" max="35" width="4.5703125" style="2" bestFit="1" customWidth="1"/>
    <col min="36" max="36" width="6.42578125" style="2" bestFit="1" customWidth="1"/>
    <col min="37" max="37" width="13.140625" style="2" bestFit="1" customWidth="1"/>
    <col min="38" max="38" width="8.85546875" style="3" bestFit="1" customWidth="1"/>
    <col min="39" max="39" width="11.5703125" style="2" bestFit="1" customWidth="1"/>
    <col min="40" max="40" width="7.28515625" style="2" bestFit="1" customWidth="1"/>
    <col min="41" max="16384" width="9.140625" style="2"/>
  </cols>
  <sheetData>
    <row r="1" spans="1:38" ht="15" x14ac:dyDescent="0.25">
      <c r="F1" s="1"/>
    </row>
    <row r="2" spans="1:38" ht="15" x14ac:dyDescent="0.25">
      <c r="F2" s="1"/>
    </row>
    <row r="3" spans="1:38" ht="21" customHeight="1" x14ac:dyDescent="0.25">
      <c r="F3" s="143" t="s">
        <v>0</v>
      </c>
      <c r="G3" s="143"/>
      <c r="H3" s="143"/>
      <c r="I3" s="143"/>
      <c r="J3" s="143"/>
      <c r="K3" s="143"/>
      <c r="L3" s="143"/>
      <c r="M3" s="143"/>
      <c r="N3" s="143"/>
      <c r="O3" s="143"/>
      <c r="P3" s="143"/>
      <c r="Q3" s="31"/>
      <c r="U3" s="15"/>
    </row>
    <row r="4" spans="1:38" ht="15" x14ac:dyDescent="0.25">
      <c r="F4" s="1"/>
    </row>
    <row r="5" spans="1:38" ht="17.100000000000001" customHeight="1" x14ac:dyDescent="0.25">
      <c r="F5" s="152" t="s">
        <v>1</v>
      </c>
      <c r="G5" s="152"/>
      <c r="H5" s="1" t="str">
        <f>SUMMARY!E1</f>
        <v>PROJECT OPTIMALISASI FUNGSI EXCEL UNTUK REMINDER DOCUMENT</v>
      </c>
    </row>
    <row r="6" spans="1:38" ht="17.100000000000001" customHeight="1" x14ac:dyDescent="0.25">
      <c r="F6" s="152" t="s">
        <v>2</v>
      </c>
      <c r="G6" s="152"/>
      <c r="H6" s="33">
        <f>SUMMARY!E2</f>
        <v>14045</v>
      </c>
    </row>
    <row r="7" spans="1:38" ht="17.100000000000001" customHeight="1" x14ac:dyDescent="0.25">
      <c r="F7" s="152" t="s">
        <v>3</v>
      </c>
      <c r="G7" s="152"/>
      <c r="L7" s="94" t="str">
        <f>IF(AND(NOT(ISBLANK(K21)),ISBLANK(K22)),C22,"")</f>
        <v/>
      </c>
      <c r="M7" s="95"/>
      <c r="W7" s="3"/>
      <c r="AC7" s="3"/>
      <c r="AF7" s="2"/>
      <c r="AI7" s="3"/>
      <c r="AL7" s="2"/>
    </row>
    <row r="8" spans="1:38" ht="17.100000000000001" customHeight="1" x14ac:dyDescent="0.25">
      <c r="F8" s="152" t="s">
        <v>4</v>
      </c>
      <c r="G8" s="152"/>
      <c r="W8" s="3"/>
      <c r="AC8" s="3"/>
      <c r="AF8" s="2"/>
      <c r="AI8" s="3"/>
      <c r="AL8" s="2"/>
    </row>
    <row r="9" spans="1:38" ht="17.25" customHeight="1" x14ac:dyDescent="0.25">
      <c r="F9" s="152" t="s">
        <v>5</v>
      </c>
      <c r="G9" s="152"/>
      <c r="J9" s="5"/>
      <c r="W9" s="3"/>
      <c r="AC9" s="3"/>
      <c r="AF9" s="2"/>
      <c r="AI9" s="3"/>
      <c r="AL9" s="2"/>
    </row>
    <row r="10" spans="1:38" ht="18.75" customHeight="1" x14ac:dyDescent="0.25">
      <c r="F10" s="1"/>
      <c r="J10" s="5" t="s">
        <v>6</v>
      </c>
      <c r="Q10" s="14"/>
      <c r="S10" s="14"/>
      <c r="U10" s="52"/>
      <c r="W10" s="153">
        <f ca="1">TODAY()</f>
        <v>44564</v>
      </c>
      <c r="X10" s="153"/>
      <c r="AC10" s="3"/>
      <c r="AF10" s="2"/>
      <c r="AI10" s="3"/>
      <c r="AL10" s="2"/>
    </row>
    <row r="11" spans="1:38" ht="12.6" customHeight="1" thickBot="1" x14ac:dyDescent="0.3">
      <c r="F11" s="1"/>
      <c r="J11" s="5" t="s">
        <v>7</v>
      </c>
      <c r="R11" s="50"/>
      <c r="T11" s="50"/>
      <c r="V11" s="50"/>
      <c r="AC11" s="3"/>
      <c r="AF11" s="2"/>
      <c r="AI11" s="3"/>
      <c r="AL11" s="2"/>
    </row>
    <row r="12" spans="1:38" s="6" customFormat="1" ht="18" customHeight="1" x14ac:dyDescent="0.25">
      <c r="A12" s="2">
        <f ca="1">COUNTIFS(C16:C253,"&lt;50",C16:C253,"&gt;7")</f>
        <v>0</v>
      </c>
      <c r="E12" s="51"/>
      <c r="F12" s="144" t="s">
        <v>8</v>
      </c>
      <c r="G12" s="146" t="s">
        <v>9</v>
      </c>
      <c r="H12" s="148" t="s">
        <v>10</v>
      </c>
      <c r="I12" s="150" t="s">
        <v>11</v>
      </c>
      <c r="J12" s="165" t="s">
        <v>12</v>
      </c>
      <c r="K12" s="166"/>
      <c r="L12" s="166"/>
      <c r="M12" s="166"/>
      <c r="N12" s="166"/>
      <c r="O12" s="166"/>
      <c r="P12" s="166"/>
      <c r="Q12" s="166"/>
      <c r="R12" s="166"/>
      <c r="S12" s="166"/>
      <c r="T12" s="166"/>
      <c r="U12" s="166"/>
      <c r="V12" s="166"/>
      <c r="W12" s="154" t="s">
        <v>34</v>
      </c>
      <c r="X12" s="155"/>
      <c r="Y12" s="155"/>
      <c r="Z12" s="155"/>
      <c r="AA12" s="160" t="s">
        <v>93</v>
      </c>
    </row>
    <row r="13" spans="1:38" s="6" customFormat="1" ht="18" customHeight="1" thickBot="1" x14ac:dyDescent="0.3">
      <c r="E13" s="51"/>
      <c r="F13" s="145"/>
      <c r="G13" s="147"/>
      <c r="H13" s="149"/>
      <c r="I13" s="151"/>
      <c r="J13" s="69" t="s">
        <v>13</v>
      </c>
      <c r="K13" s="133">
        <v>0</v>
      </c>
      <c r="L13" s="134"/>
      <c r="M13" s="137">
        <v>1</v>
      </c>
      <c r="N13" s="134"/>
      <c r="O13" s="56">
        <v>2</v>
      </c>
      <c r="P13" s="57"/>
      <c r="Q13" s="56">
        <v>3</v>
      </c>
      <c r="R13" s="57"/>
      <c r="S13" s="56">
        <v>4</v>
      </c>
      <c r="T13" s="57"/>
      <c r="U13" s="137">
        <v>5</v>
      </c>
      <c r="V13" s="137"/>
      <c r="W13" s="156"/>
      <c r="X13" s="157"/>
      <c r="Y13" s="157"/>
      <c r="Z13" s="157"/>
      <c r="AA13" s="161"/>
      <c r="AC13" s="7"/>
      <c r="AI13" s="7"/>
    </row>
    <row r="14" spans="1:38" s="6" customFormat="1" ht="6.75" customHeight="1" thickBot="1" x14ac:dyDescent="0.3">
      <c r="E14" s="51"/>
      <c r="F14" s="8"/>
      <c r="G14" s="9"/>
      <c r="H14" s="8"/>
      <c r="I14" s="8"/>
      <c r="J14" s="59"/>
      <c r="K14" s="135"/>
      <c r="L14" s="136"/>
      <c r="M14" s="138"/>
      <c r="N14" s="139"/>
      <c r="O14" s="16"/>
      <c r="P14" s="47"/>
      <c r="Q14" s="16"/>
      <c r="R14" s="47"/>
      <c r="S14" s="16"/>
      <c r="T14" s="47"/>
      <c r="U14" s="34"/>
      <c r="V14" s="98"/>
      <c r="W14" s="158"/>
      <c r="X14" s="159"/>
      <c r="Y14" s="159"/>
      <c r="Z14" s="159"/>
      <c r="AA14" s="162"/>
      <c r="AC14" s="7"/>
      <c r="AI14" s="7"/>
    </row>
    <row r="15" spans="1:38" s="11" customFormat="1" ht="24.95" customHeight="1" thickBot="1" x14ac:dyDescent="0.35">
      <c r="A15" s="25" t="s">
        <v>77</v>
      </c>
      <c r="B15" s="25" t="s">
        <v>78</v>
      </c>
      <c r="C15" s="25" t="s">
        <v>52</v>
      </c>
      <c r="D15" s="25" t="s">
        <v>33</v>
      </c>
      <c r="E15" s="25" t="s">
        <v>56</v>
      </c>
      <c r="F15" s="24"/>
      <c r="G15" s="23" t="s">
        <v>30</v>
      </c>
      <c r="H15" s="10"/>
      <c r="I15" s="10"/>
      <c r="J15" s="62"/>
      <c r="K15" s="74"/>
      <c r="L15" s="105"/>
      <c r="M15" s="140"/>
      <c r="N15" s="141"/>
      <c r="O15" s="74"/>
      <c r="P15" s="75"/>
      <c r="Q15" s="74"/>
      <c r="R15" s="75"/>
      <c r="S15" s="74"/>
      <c r="T15" s="75"/>
      <c r="U15" s="35"/>
      <c r="V15" s="48"/>
      <c r="W15" s="97" t="s">
        <v>26</v>
      </c>
      <c r="X15" s="97" t="s">
        <v>14</v>
      </c>
      <c r="Y15" s="97" t="s">
        <v>15</v>
      </c>
      <c r="Z15" s="97" t="s">
        <v>49</v>
      </c>
      <c r="AA15" s="97" t="s">
        <v>92</v>
      </c>
      <c r="AC15" s="12"/>
      <c r="AI15" s="12"/>
    </row>
    <row r="16" spans="1:38" s="11" customFormat="1" ht="15" customHeight="1" x14ac:dyDescent="0.3">
      <c r="A16" s="36" t="str">
        <f>_xlfn.CONCAT(G16)</f>
        <v>NPK-000-A4-DW-025</v>
      </c>
      <c r="B16" s="37" t="str">
        <f>_xlfn.CONCAT(H16)</f>
        <v>LIVING QUARTER FOUNDATION PLAN,DETAIL, SECTION AND MEMBER SCHEDULE</v>
      </c>
      <c r="C16" s="38" t="str">
        <f>IF(ISBLANK(K21),NETWORKDAYS(K18,$W$10),"")</f>
        <v/>
      </c>
      <c r="D16" s="72" t="str">
        <f ca="1">IFERROR(LOOKUP($W$10,K21:V21,K20:V20),"")</f>
        <v>APPROVED WITH COMMENT</v>
      </c>
      <c r="E16" s="72">
        <f ca="1">IF(AND(NOT(ISBLANK(K21)),ISBLANK(M18)),NETWORKDAYS(K21,$W$10),"")</f>
        <v>371</v>
      </c>
      <c r="F16" s="130">
        <v>1</v>
      </c>
      <c r="G16" s="127" t="s">
        <v>57</v>
      </c>
      <c r="H16" s="124" t="s">
        <v>58</v>
      </c>
      <c r="I16" s="127" t="s">
        <v>31</v>
      </c>
      <c r="J16" s="63" t="s">
        <v>16</v>
      </c>
      <c r="K16" s="84" t="s">
        <v>80</v>
      </c>
      <c r="L16" s="49"/>
      <c r="M16" s="84"/>
      <c r="N16" s="49"/>
      <c r="O16" s="84"/>
      <c r="P16" s="49"/>
      <c r="Q16" s="84"/>
      <c r="R16" s="49"/>
      <c r="S16" s="84"/>
      <c r="T16" s="49"/>
      <c r="U16" s="84"/>
      <c r="V16" s="49"/>
      <c r="W16" s="80"/>
      <c r="X16" s="80"/>
      <c r="Y16" s="80"/>
      <c r="Z16" s="100"/>
      <c r="AA16" s="103">
        <f ca="1">L22</f>
        <v>371</v>
      </c>
      <c r="AC16" s="12"/>
      <c r="AG16" s="13"/>
      <c r="AI16" s="12"/>
    </row>
    <row r="17" spans="1:38" s="11" customFormat="1" ht="15" customHeight="1" x14ac:dyDescent="0.3">
      <c r="A17" s="39" t="str">
        <f>A16</f>
        <v>NPK-000-A4-DW-025</v>
      </c>
      <c r="B17" s="21" t="str">
        <f>B16</f>
        <v>LIVING QUARTER FOUNDATION PLAN,DETAIL, SECTION AND MEMBER SCHEDULE</v>
      </c>
      <c r="C17" s="22">
        <f ca="1">IF(ISBLANK(M21),NETWORKDAYS(M18,$W$10),"")</f>
        <v>31831</v>
      </c>
      <c r="D17" s="40"/>
      <c r="E17" s="78" t="str">
        <f>IF(AND(NOT(ISBLANK(M21)),ISBLANK(O18)),NETWORKDAYS(M21,$W$10),"")</f>
        <v/>
      </c>
      <c r="F17" s="131"/>
      <c r="G17" s="128"/>
      <c r="H17" s="125"/>
      <c r="I17" s="128"/>
      <c r="J17" s="63" t="s">
        <v>17</v>
      </c>
      <c r="K17" s="55" t="s">
        <v>87</v>
      </c>
      <c r="L17" s="49"/>
      <c r="M17" s="55"/>
      <c r="N17" s="49"/>
      <c r="O17" s="55"/>
      <c r="P17" s="49"/>
      <c r="Q17" s="55"/>
      <c r="R17" s="49"/>
      <c r="S17" s="55"/>
      <c r="T17" s="49"/>
      <c r="U17" s="55"/>
      <c r="V17" s="49"/>
      <c r="W17" s="123" t="str">
        <f ca="1">IF(D16="APPROVED",1,"")</f>
        <v/>
      </c>
      <c r="X17" s="122">
        <f ca="1">IF(D16="APPROVED WITH COMMENT",1,"")</f>
        <v>1</v>
      </c>
      <c r="Y17" s="122" t="str">
        <f ca="1">IF(D16="NOT APPROVED",1,"")</f>
        <v/>
      </c>
      <c r="Z17" s="142" t="str">
        <f ca="1">IF(D16="INFORMATION",1,"")</f>
        <v/>
      </c>
      <c r="AA17" s="99" t="str">
        <f>N22</f>
        <v/>
      </c>
      <c r="AC17" s="12"/>
      <c r="AG17" s="13"/>
      <c r="AI17" s="12"/>
    </row>
    <row r="18" spans="1:38" s="11" customFormat="1" ht="15" customHeight="1" x14ac:dyDescent="0.3">
      <c r="A18" s="39" t="str">
        <f t="shared" ref="A18:A21" si="0">A17</f>
        <v>NPK-000-A4-DW-025</v>
      </c>
      <c r="B18" s="21" t="str">
        <f t="shared" ref="B18:B21" si="1">B17</f>
        <v>LIVING QUARTER FOUNDATION PLAN,DETAIL, SECTION AND MEMBER SCHEDULE</v>
      </c>
      <c r="C18" s="22">
        <f ca="1">IF(ISBLANK(O21),NETWORKDAYS(O18,$W$10),"")</f>
        <v>31831</v>
      </c>
      <c r="D18" s="40"/>
      <c r="E18" s="78" t="str">
        <f>IF(AND(NOT(ISBLANK(O21)),ISBLANK(Q18)),NETWORKDAYS(O21,$W$10),"")</f>
        <v/>
      </c>
      <c r="F18" s="131"/>
      <c r="G18" s="128"/>
      <c r="H18" s="125"/>
      <c r="I18" s="128"/>
      <c r="J18" s="63" t="s">
        <v>18</v>
      </c>
      <c r="K18" s="53">
        <v>44044</v>
      </c>
      <c r="L18" s="45" t="str">
        <f>IF(AND(K18="",K21=""),"",C16)</f>
        <v/>
      </c>
      <c r="M18" s="53"/>
      <c r="N18" s="45" t="str">
        <f>IF(AND(M18="",M21=""),"",E16)</f>
        <v/>
      </c>
      <c r="O18" s="53"/>
      <c r="P18" s="45" t="str">
        <f t="shared" ref="P18" si="2">IF(AND(O18="",O21=""),"",G16)</f>
        <v/>
      </c>
      <c r="Q18" s="53"/>
      <c r="R18" s="45" t="str">
        <f t="shared" ref="R18" si="3">IF(AND(Q18="",Q21=""),"",I16)</f>
        <v/>
      </c>
      <c r="S18" s="53"/>
      <c r="T18" s="45" t="str">
        <f t="shared" ref="T18" si="4">IF(AND(S18="",S21=""),"",K16)</f>
        <v/>
      </c>
      <c r="U18" s="53"/>
      <c r="V18" s="45" t="str">
        <f t="shared" ref="V18" si="5">IF(AND(U18="",U21=""),"",M16)</f>
        <v/>
      </c>
      <c r="W18" s="123"/>
      <c r="X18" s="122"/>
      <c r="Y18" s="122"/>
      <c r="Z18" s="142"/>
      <c r="AA18" s="99" t="str">
        <f>P22</f>
        <v/>
      </c>
      <c r="AC18" s="12"/>
      <c r="AG18" s="13"/>
      <c r="AI18" s="12"/>
    </row>
    <row r="19" spans="1:38" s="11" customFormat="1" ht="15" customHeight="1" x14ac:dyDescent="0.3">
      <c r="A19" s="39" t="str">
        <f t="shared" si="0"/>
        <v>NPK-000-A4-DW-025</v>
      </c>
      <c r="B19" s="21" t="str">
        <f t="shared" si="1"/>
        <v>LIVING QUARTER FOUNDATION PLAN,DETAIL, SECTION AND MEMBER SCHEDULE</v>
      </c>
      <c r="C19" s="22">
        <f ca="1">IF(ISBLANK(Q21),NETWORKDAYS(Q18,$W$10),"")</f>
        <v>31831</v>
      </c>
      <c r="D19" s="40"/>
      <c r="E19" s="78" t="str">
        <f>IF(AND(NOT(ISBLANK(Q21)),ISBLANK(S18)),NETWORKDAYS(Q21,$W$10),"")</f>
        <v/>
      </c>
      <c r="F19" s="131"/>
      <c r="G19" s="128"/>
      <c r="H19" s="125"/>
      <c r="I19" s="128"/>
      <c r="J19" s="63" t="s">
        <v>19</v>
      </c>
      <c r="K19" s="86" t="s">
        <v>89</v>
      </c>
      <c r="L19" s="88"/>
      <c r="M19" s="86"/>
      <c r="N19" s="88"/>
      <c r="O19" s="86"/>
      <c r="P19" s="88"/>
      <c r="Q19" s="86"/>
      <c r="R19" s="88"/>
      <c r="S19" s="86"/>
      <c r="T19" s="88"/>
      <c r="U19" s="86"/>
      <c r="V19" s="88"/>
      <c r="W19" s="123"/>
      <c r="X19" s="122"/>
      <c r="Y19" s="122"/>
      <c r="Z19" s="142"/>
      <c r="AA19" s="99" t="str">
        <f>R22</f>
        <v/>
      </c>
      <c r="AC19" s="12"/>
      <c r="AG19" s="13"/>
      <c r="AI19" s="12"/>
    </row>
    <row r="20" spans="1:38" s="11" customFormat="1" ht="15" customHeight="1" x14ac:dyDescent="0.3">
      <c r="A20" s="39" t="str">
        <f t="shared" si="0"/>
        <v>NPK-000-A4-DW-025</v>
      </c>
      <c r="B20" s="21" t="str">
        <f t="shared" si="1"/>
        <v>LIVING QUARTER FOUNDATION PLAN,DETAIL, SECTION AND MEMBER SCHEDULE</v>
      </c>
      <c r="C20" s="22">
        <f ca="1">IF(ISBLANK(S21),NETWORKDAYS(S18,$W$10),"")</f>
        <v>31831</v>
      </c>
      <c r="D20" s="40"/>
      <c r="E20" s="78" t="str">
        <f>IF(AND(NOT(ISBLANK(S21)),ISBLANK(U18)),NETWORKDAYS(S21,$W$10),"")</f>
        <v/>
      </c>
      <c r="F20" s="131"/>
      <c r="G20" s="128"/>
      <c r="H20" s="125"/>
      <c r="I20" s="128"/>
      <c r="J20" s="64" t="s">
        <v>20</v>
      </c>
      <c r="K20" s="96" t="s">
        <v>35</v>
      </c>
      <c r="L20" s="88"/>
      <c r="M20" s="86"/>
      <c r="N20" s="88"/>
      <c r="O20" s="86"/>
      <c r="P20" s="88"/>
      <c r="Q20" s="86"/>
      <c r="R20" s="88"/>
      <c r="S20" s="86"/>
      <c r="T20" s="88"/>
      <c r="U20" s="86"/>
      <c r="V20" s="88"/>
      <c r="W20" s="123"/>
      <c r="X20" s="122"/>
      <c r="Y20" s="122"/>
      <c r="Z20" s="142"/>
      <c r="AA20" s="99" t="str">
        <f>T22</f>
        <v/>
      </c>
      <c r="AC20" s="12"/>
      <c r="AG20" s="13"/>
      <c r="AI20" s="12"/>
    </row>
    <row r="21" spans="1:38" s="11" customFormat="1" ht="15" customHeight="1" thickBot="1" x14ac:dyDescent="0.35">
      <c r="A21" s="41" t="str">
        <f t="shared" si="0"/>
        <v>NPK-000-A4-DW-025</v>
      </c>
      <c r="B21" s="42" t="str">
        <f t="shared" si="1"/>
        <v>LIVING QUARTER FOUNDATION PLAN,DETAIL, SECTION AND MEMBER SCHEDULE</v>
      </c>
      <c r="C21" s="43">
        <f ca="1">IF(ISBLANK(U21),NETWORKDAYS(U18,$W$10),"")</f>
        <v>31831</v>
      </c>
      <c r="D21" s="44"/>
      <c r="E21" s="79"/>
      <c r="F21" s="131"/>
      <c r="G21" s="128"/>
      <c r="H21" s="125"/>
      <c r="I21" s="128"/>
      <c r="J21" s="63" t="s">
        <v>18</v>
      </c>
      <c r="K21" s="87">
        <v>44046</v>
      </c>
      <c r="L21" s="89"/>
      <c r="M21" s="87"/>
      <c r="N21" s="89"/>
      <c r="O21" s="87"/>
      <c r="P21" s="89"/>
      <c r="Q21" s="87"/>
      <c r="R21" s="89"/>
      <c r="S21" s="87"/>
      <c r="T21" s="89"/>
      <c r="U21" s="87"/>
      <c r="V21" s="89"/>
      <c r="W21" s="123"/>
      <c r="X21" s="122"/>
      <c r="Y21" s="122"/>
      <c r="Z21" s="142"/>
      <c r="AA21" s="99"/>
      <c r="AD21" s="13"/>
      <c r="AF21" s="12"/>
      <c r="AJ21" s="13"/>
      <c r="AL21" s="12"/>
    </row>
    <row r="22" spans="1:38" s="11" customFormat="1" ht="15" customHeight="1" thickBot="1" x14ac:dyDescent="0.35">
      <c r="A22" s="39"/>
      <c r="B22" s="21"/>
      <c r="C22" s="22"/>
      <c r="D22" s="40"/>
      <c r="E22" s="22"/>
      <c r="F22" s="132"/>
      <c r="G22" s="129"/>
      <c r="H22" s="126"/>
      <c r="I22" s="129"/>
      <c r="J22" s="63" t="s">
        <v>53</v>
      </c>
      <c r="K22" s="66" t="str">
        <f>IF(NOT(ISBLANK(M18)),NETWORKDAYS(K21,M18),"")</f>
        <v/>
      </c>
      <c r="L22" s="73">
        <f ca="1">IF(AND(K20="APPROVED",K17="IFC"),"",E16)</f>
        <v>371</v>
      </c>
      <c r="M22" s="66" t="str">
        <f t="shared" ref="M22" si="6">IF(NOT(ISBLANK(O18)),NETWORKDAYS(M21,O18),"")</f>
        <v/>
      </c>
      <c r="N22" s="73" t="str">
        <f>IF(AND(M20="APPROVED",M17="IFC"),"",E17)</f>
        <v/>
      </c>
      <c r="O22" s="66" t="str">
        <f t="shared" ref="O22" si="7">IF(NOT(ISBLANK(Q18)),NETWORKDAYS(O21,Q18),"")</f>
        <v/>
      </c>
      <c r="P22" s="73" t="str">
        <f>IF(AND(O20="APPROVED",O17="IFC"),"",E18)</f>
        <v/>
      </c>
      <c r="Q22" s="66" t="str">
        <f t="shared" ref="Q22" si="8">IF(NOT(ISBLANK(S18)),NETWORKDAYS(Q21,S18),"")</f>
        <v/>
      </c>
      <c r="R22" s="73" t="str">
        <f>IF(AND(Q20="APPROVED",Q17="IFC"),"",E19)</f>
        <v/>
      </c>
      <c r="S22" s="66" t="str">
        <f t="shared" ref="S22" si="9">IF(NOT(ISBLANK(U18)),NETWORKDAYS(S21,U18),"")</f>
        <v/>
      </c>
      <c r="T22" s="73" t="str">
        <f>IF(AND(S20="APPROVED",S17="IFC"),"",E20)</f>
        <v/>
      </c>
      <c r="U22" s="92"/>
      <c r="V22" s="93"/>
      <c r="W22" s="58"/>
      <c r="X22" s="58"/>
      <c r="Y22" s="58"/>
      <c r="Z22" s="101"/>
      <c r="AA22" s="102"/>
      <c r="AD22" s="13"/>
      <c r="AF22" s="12"/>
      <c r="AJ22" s="13"/>
      <c r="AL22" s="12"/>
    </row>
    <row r="23" spans="1:38" s="11" customFormat="1" ht="15" customHeight="1" x14ac:dyDescent="0.3">
      <c r="A23" s="36" t="str">
        <f t="shared" ref="A23" si="10">_xlfn.CONCAT(G23)</f>
        <v>NPK-000-A4-DW-026</v>
      </c>
      <c r="B23" s="37" t="str">
        <f t="shared" ref="B23" si="11">_xlfn.CONCAT(H23)</f>
        <v>LIVING QUARTER FLOOR PLAN</v>
      </c>
      <c r="C23" s="38" t="str">
        <f t="shared" ref="C23" si="12">IF(ISBLANK(K28),NETWORKDAYS(K25,$W$10),"")</f>
        <v/>
      </c>
      <c r="D23" s="72" t="str">
        <f t="shared" ref="D23" ca="1" si="13">IFERROR(LOOKUP($W$10,K28:V28,K27:V27),"")</f>
        <v>APPROVED</v>
      </c>
      <c r="E23" s="72" t="str">
        <f t="shared" ref="E23" si="14">IF(AND(NOT(ISBLANK(K28)),ISBLANK(M25)),NETWORKDAYS(K28,$W$10),"")</f>
        <v/>
      </c>
      <c r="F23" s="130">
        <v>2</v>
      </c>
      <c r="G23" s="127" t="s">
        <v>59</v>
      </c>
      <c r="H23" s="124" t="s">
        <v>60</v>
      </c>
      <c r="I23" s="127" t="s">
        <v>31</v>
      </c>
      <c r="J23" s="63" t="s">
        <v>16</v>
      </c>
      <c r="K23" s="84" t="s">
        <v>80</v>
      </c>
      <c r="L23" s="49"/>
      <c r="M23" s="84" t="s">
        <v>81</v>
      </c>
      <c r="N23" s="49"/>
      <c r="O23" s="55"/>
      <c r="P23" s="49"/>
      <c r="Q23" s="55"/>
      <c r="R23" s="49"/>
      <c r="S23" s="55"/>
      <c r="T23" s="49"/>
      <c r="U23" s="55"/>
      <c r="V23" s="49"/>
      <c r="W23" s="80"/>
      <c r="X23" s="80"/>
      <c r="Y23" s="80"/>
      <c r="Z23" s="80"/>
      <c r="AA23" s="103" t="str">
        <f t="shared" ref="AA23" si="15">L29</f>
        <v/>
      </c>
      <c r="AF23" s="12"/>
      <c r="AL23" s="12"/>
    </row>
    <row r="24" spans="1:38" s="11" customFormat="1" ht="15" customHeight="1" x14ac:dyDescent="0.3">
      <c r="A24" s="39" t="str">
        <f t="shared" ref="A24:A84" si="16">A23</f>
        <v>NPK-000-A4-DW-026</v>
      </c>
      <c r="B24" s="21" t="str">
        <f t="shared" ref="B24:B84" si="17">B23</f>
        <v>LIVING QUARTER FLOOR PLAN</v>
      </c>
      <c r="C24" s="22" t="str">
        <f t="shared" ref="C24" si="18">IF(ISBLANK(M28),NETWORKDAYS(M25,$W$10),"")</f>
        <v/>
      </c>
      <c r="D24" s="40"/>
      <c r="E24" s="78">
        <f ca="1">IF(AND(NOT(ISBLANK(M28)),ISBLANK(O25)),NETWORKDAYS(M28,$W$10),"")</f>
        <v>368</v>
      </c>
      <c r="F24" s="131"/>
      <c r="G24" s="128"/>
      <c r="H24" s="125"/>
      <c r="I24" s="128"/>
      <c r="J24" s="63" t="s">
        <v>17</v>
      </c>
      <c r="K24" s="55" t="s">
        <v>87</v>
      </c>
      <c r="L24" s="49"/>
      <c r="M24" s="55" t="s">
        <v>88</v>
      </c>
      <c r="N24" s="49"/>
      <c r="O24" s="55"/>
      <c r="P24" s="49"/>
      <c r="Q24" s="55"/>
      <c r="R24" s="49"/>
      <c r="S24" s="55"/>
      <c r="T24" s="49"/>
      <c r="U24" s="55"/>
      <c r="V24" s="49"/>
      <c r="W24" s="123">
        <f ca="1">IF(D23="APPROVED",1,"")</f>
        <v>1</v>
      </c>
      <c r="X24" s="122" t="str">
        <f ca="1">IF(D23="APPROVED WITH COMMENT",1,"")</f>
        <v/>
      </c>
      <c r="Y24" s="122" t="str">
        <f ca="1">IF(D23="NOT APPROVED",1,"")</f>
        <v/>
      </c>
      <c r="Z24" s="122" t="str">
        <f ca="1">IF(D23="INFORMATION",1,"")</f>
        <v/>
      </c>
      <c r="AA24" s="99" t="str">
        <f t="shared" ref="AA24" si="19">N29</f>
        <v/>
      </c>
      <c r="AD24" s="13"/>
      <c r="AF24" s="12"/>
      <c r="AJ24" s="13"/>
      <c r="AL24" s="12"/>
    </row>
    <row r="25" spans="1:38" s="11" customFormat="1" ht="15" customHeight="1" x14ac:dyDescent="0.3">
      <c r="A25" s="39" t="str">
        <f t="shared" si="16"/>
        <v>NPK-000-A4-DW-026</v>
      </c>
      <c r="B25" s="21" t="str">
        <f t="shared" si="17"/>
        <v>LIVING QUARTER FLOOR PLAN</v>
      </c>
      <c r="C25" s="22">
        <f t="shared" ref="C25" ca="1" si="20">IF(ISBLANK(O28),NETWORKDAYS(O25,$W$10),"")</f>
        <v>31831</v>
      </c>
      <c r="D25" s="40"/>
      <c r="E25" s="78" t="str">
        <f t="shared" ref="E25" si="21">IF(AND(NOT(ISBLANK(O28)),ISBLANK(Q25)),NETWORKDAYS(O28,$W$10),"")</f>
        <v/>
      </c>
      <c r="F25" s="131"/>
      <c r="G25" s="128"/>
      <c r="H25" s="125"/>
      <c r="I25" s="128"/>
      <c r="J25" s="63" t="s">
        <v>18</v>
      </c>
      <c r="K25" s="53">
        <v>44044</v>
      </c>
      <c r="L25" s="45" t="str">
        <f>IF(AND(K25="",K28=""),"",C23)</f>
        <v/>
      </c>
      <c r="M25" s="53">
        <v>44053</v>
      </c>
      <c r="N25" s="45" t="str">
        <f>IF(AND(M25="",M28=""),"",C24)</f>
        <v/>
      </c>
      <c r="O25" s="53"/>
      <c r="P25" s="45" t="str">
        <f>IF(AND(O25="",O28=""),"",C25)</f>
        <v/>
      </c>
      <c r="Q25" s="53"/>
      <c r="R25" s="45" t="str">
        <f>IF(AND(Q25="",Q28=""),"",C26)</f>
        <v/>
      </c>
      <c r="S25" s="53"/>
      <c r="T25" s="45" t="str">
        <f>IF(AND(S25="",S28=""),"",C27)</f>
        <v/>
      </c>
      <c r="U25" s="53"/>
      <c r="V25" s="45" t="str">
        <f>IF(AND(U25="",U28=""),"",C28)</f>
        <v/>
      </c>
      <c r="W25" s="123"/>
      <c r="X25" s="122"/>
      <c r="Y25" s="122"/>
      <c r="Z25" s="122"/>
      <c r="AA25" s="99" t="str">
        <f t="shared" ref="AA25" si="22">P29</f>
        <v/>
      </c>
      <c r="AD25" s="13"/>
      <c r="AF25" s="12"/>
      <c r="AJ25" s="13"/>
      <c r="AL25" s="12"/>
    </row>
    <row r="26" spans="1:38" s="11" customFormat="1" ht="15" customHeight="1" x14ac:dyDescent="0.3">
      <c r="A26" s="39" t="str">
        <f t="shared" si="16"/>
        <v>NPK-000-A4-DW-026</v>
      </c>
      <c r="B26" s="21" t="str">
        <f t="shared" si="17"/>
        <v>LIVING QUARTER FLOOR PLAN</v>
      </c>
      <c r="C26" s="22">
        <f t="shared" ref="C26" ca="1" si="23">IF(ISBLANK(Q28),NETWORKDAYS(Q25,$W$10),"")</f>
        <v>31831</v>
      </c>
      <c r="D26" s="40"/>
      <c r="E26" s="78" t="str">
        <f t="shared" ref="E26" si="24">IF(AND(NOT(ISBLANK(Q28)),ISBLANK(S25)),NETWORKDAYS(Q28,$W$10),"")</f>
        <v/>
      </c>
      <c r="F26" s="131"/>
      <c r="G26" s="128"/>
      <c r="H26" s="125"/>
      <c r="I26" s="128"/>
      <c r="J26" s="63" t="s">
        <v>19</v>
      </c>
      <c r="K26" s="86" t="s">
        <v>89</v>
      </c>
      <c r="L26" s="88"/>
      <c r="M26" s="86" t="s">
        <v>90</v>
      </c>
      <c r="N26" s="88"/>
      <c r="O26" s="86"/>
      <c r="P26" s="88"/>
      <c r="Q26" s="86"/>
      <c r="R26" s="88"/>
      <c r="S26" s="86"/>
      <c r="T26" s="88"/>
      <c r="U26" s="86"/>
      <c r="V26" s="49"/>
      <c r="W26" s="123"/>
      <c r="X26" s="122"/>
      <c r="Y26" s="122"/>
      <c r="Z26" s="122"/>
      <c r="AA26" s="99" t="str">
        <f t="shared" ref="AA26" si="25">R29</f>
        <v/>
      </c>
      <c r="AD26" s="13"/>
      <c r="AF26" s="12"/>
      <c r="AJ26" s="13"/>
      <c r="AL26" s="12"/>
    </row>
    <row r="27" spans="1:38" s="11" customFormat="1" ht="15" customHeight="1" x14ac:dyDescent="0.3">
      <c r="A27" s="39" t="str">
        <f t="shared" si="16"/>
        <v>NPK-000-A4-DW-026</v>
      </c>
      <c r="B27" s="21" t="str">
        <f t="shared" si="17"/>
        <v>LIVING QUARTER FLOOR PLAN</v>
      </c>
      <c r="C27" s="22">
        <f t="shared" ref="C27" ca="1" si="26">IF(ISBLANK(S28),NETWORKDAYS(S25,$W$10),"")</f>
        <v>31831</v>
      </c>
      <c r="D27" s="40"/>
      <c r="E27" s="78" t="str">
        <f t="shared" ref="E27" si="27">IF(AND(NOT(ISBLANK(S28)),ISBLANK(U25)),NETWORKDAYS(S28,$W$10),"")</f>
        <v/>
      </c>
      <c r="F27" s="131"/>
      <c r="G27" s="128"/>
      <c r="H27" s="125"/>
      <c r="I27" s="128"/>
      <c r="J27" s="64" t="s">
        <v>20</v>
      </c>
      <c r="K27" s="86" t="s">
        <v>35</v>
      </c>
      <c r="L27" s="88"/>
      <c r="M27" s="86" t="s">
        <v>29</v>
      </c>
      <c r="N27" s="88"/>
      <c r="O27" s="86"/>
      <c r="P27" s="88"/>
      <c r="Q27" s="86"/>
      <c r="R27" s="88"/>
      <c r="S27" s="86"/>
      <c r="T27" s="88"/>
      <c r="U27" s="86"/>
      <c r="V27" s="49"/>
      <c r="W27" s="123"/>
      <c r="X27" s="122"/>
      <c r="Y27" s="122"/>
      <c r="Z27" s="122"/>
      <c r="AA27" s="99" t="str">
        <f t="shared" ref="AA27" si="28">T29</f>
        <v/>
      </c>
      <c r="AD27" s="13"/>
      <c r="AF27" s="12"/>
      <c r="AJ27" s="13"/>
      <c r="AL27" s="12"/>
    </row>
    <row r="28" spans="1:38" s="11" customFormat="1" ht="15" customHeight="1" thickBot="1" x14ac:dyDescent="0.35">
      <c r="A28" s="41" t="str">
        <f t="shared" si="16"/>
        <v>NPK-000-A4-DW-026</v>
      </c>
      <c r="B28" s="42" t="str">
        <f t="shared" si="17"/>
        <v>LIVING QUARTER FLOOR PLAN</v>
      </c>
      <c r="C28" s="43">
        <f t="shared" ref="C28" ca="1" si="29">IF(ISBLANK(U28),NETWORKDAYS(U25,$W$10),"")</f>
        <v>31831</v>
      </c>
      <c r="D28" s="44"/>
      <c r="E28" s="79"/>
      <c r="F28" s="131"/>
      <c r="G28" s="128"/>
      <c r="H28" s="125"/>
      <c r="I28" s="128"/>
      <c r="J28" s="63" t="s">
        <v>18</v>
      </c>
      <c r="K28" s="87">
        <v>44046</v>
      </c>
      <c r="L28" s="89"/>
      <c r="M28" s="87">
        <v>44049</v>
      </c>
      <c r="N28" s="89"/>
      <c r="O28" s="87"/>
      <c r="P28" s="89"/>
      <c r="Q28" s="87"/>
      <c r="R28" s="89"/>
      <c r="S28" s="87"/>
      <c r="T28" s="89"/>
      <c r="U28" s="90"/>
      <c r="V28" s="45"/>
      <c r="W28" s="123"/>
      <c r="X28" s="122"/>
      <c r="Y28" s="122"/>
      <c r="Z28" s="122"/>
      <c r="AA28" s="99"/>
      <c r="AD28" s="13"/>
      <c r="AF28" s="12"/>
      <c r="AJ28" s="13"/>
      <c r="AL28" s="12"/>
    </row>
    <row r="29" spans="1:38" s="11" customFormat="1" ht="15" customHeight="1" thickBot="1" x14ac:dyDescent="0.35">
      <c r="A29" s="39"/>
      <c r="B29" s="21"/>
      <c r="C29" s="22"/>
      <c r="D29" s="40"/>
      <c r="E29" s="22"/>
      <c r="F29" s="132"/>
      <c r="G29" s="129"/>
      <c r="H29" s="126"/>
      <c r="I29" s="129"/>
      <c r="J29" s="63" t="s">
        <v>53</v>
      </c>
      <c r="K29" s="66">
        <f t="shared" ref="K29" si="30">IF(NOT(ISBLANK(M25)),NETWORKDAYS(K28,M25),"")</f>
        <v>6</v>
      </c>
      <c r="L29" s="73" t="str">
        <f>IF(K27="APPROVED","",E23)</f>
        <v/>
      </c>
      <c r="M29" s="66" t="str">
        <f>IF(NOT(ISBLANK(O25)),NETWORKDAYS(M28,O25),"")</f>
        <v/>
      </c>
      <c r="N29" s="73" t="str">
        <f>IF(M27="APPROVED","",E24)</f>
        <v/>
      </c>
      <c r="O29" s="66" t="str">
        <f t="shared" ref="O29" si="31">IF(NOT(ISBLANK(Q25)),NETWORKDAYS(O28,Q25),"")</f>
        <v/>
      </c>
      <c r="P29" s="73" t="str">
        <f>IF(O27="APPROVED","",E25)</f>
        <v/>
      </c>
      <c r="Q29" s="66" t="str">
        <f t="shared" ref="Q29" si="32">IF(NOT(ISBLANK(S25)),NETWORKDAYS(Q28,$W$10),"")</f>
        <v/>
      </c>
      <c r="R29" s="73" t="str">
        <f>IF(Q27="APPROVED","",E26)</f>
        <v/>
      </c>
      <c r="S29" s="65" t="str">
        <f t="shared" ref="S29" si="33">IF(U25="","",NETWORKDAYS(S28,U25))</f>
        <v/>
      </c>
      <c r="T29" s="67" t="str">
        <f>IF(AND(NOT(ISBLANK(S28)),ISBLANK(U25)),E27,"")</f>
        <v/>
      </c>
      <c r="U29" s="76"/>
      <c r="V29" s="77" t="str">
        <f>IF(AND(NOT(ISBLANK(U28)),ISBLANK(U29)),#REF!,"")</f>
        <v/>
      </c>
      <c r="W29" s="58"/>
      <c r="X29" s="58"/>
      <c r="Y29" s="58"/>
      <c r="Z29" s="58"/>
      <c r="AA29" s="102"/>
      <c r="AD29" s="13"/>
      <c r="AF29" s="12"/>
      <c r="AJ29" s="13"/>
      <c r="AL29" s="12"/>
    </row>
    <row r="30" spans="1:38" s="11" customFormat="1" ht="15" customHeight="1" x14ac:dyDescent="0.3">
      <c r="A30" s="36" t="str">
        <f t="shared" ref="A30" si="34">_xlfn.CONCAT(G30)</f>
        <v>NPK-000-A4-DW-028</v>
      </c>
      <c r="B30" s="37" t="str">
        <f t="shared" ref="B30" si="35">_xlfn.CONCAT(H30)</f>
        <v xml:space="preserve">LIVING QUARTER FRAMING ELEV LINE </v>
      </c>
      <c r="C30" s="38" t="str">
        <f t="shared" ref="C30" si="36">IF(ISBLANK(K35),NETWORKDAYS(K32,$W$10),"")</f>
        <v/>
      </c>
      <c r="D30" s="72" t="str">
        <f t="shared" ref="D30" ca="1" si="37">IFERROR(LOOKUP($W$10,K35:V35,K34:V34),"")</f>
        <v>APPROVED WITH COMMENT</v>
      </c>
      <c r="E30" s="72" t="str">
        <f t="shared" ref="E30" si="38">IF(AND(NOT(ISBLANK(K35)),ISBLANK(M32)),NETWORKDAYS(K35,$W$10),"")</f>
        <v/>
      </c>
      <c r="F30" s="130">
        <v>3</v>
      </c>
      <c r="G30" s="127" t="s">
        <v>61</v>
      </c>
      <c r="H30" s="124" t="s">
        <v>62</v>
      </c>
      <c r="I30" s="127" t="s">
        <v>31</v>
      </c>
      <c r="J30" s="63" t="s">
        <v>16</v>
      </c>
      <c r="K30" s="84" t="s">
        <v>80</v>
      </c>
      <c r="L30" s="49"/>
      <c r="M30" s="84" t="s">
        <v>81</v>
      </c>
      <c r="N30" s="49"/>
      <c r="O30" s="55"/>
      <c r="P30" s="49"/>
      <c r="Q30" s="55"/>
      <c r="R30" s="49"/>
      <c r="S30" s="55"/>
      <c r="T30" s="49"/>
      <c r="U30" s="55"/>
      <c r="V30" s="49"/>
      <c r="W30" s="80"/>
      <c r="X30" s="80"/>
      <c r="Y30" s="80"/>
      <c r="Z30" s="80"/>
      <c r="AA30" s="103" t="str">
        <f t="shared" ref="AA30" si="39">L36</f>
        <v/>
      </c>
      <c r="AF30" s="12"/>
      <c r="AL30" s="12"/>
    </row>
    <row r="31" spans="1:38" s="11" customFormat="1" ht="15" customHeight="1" x14ac:dyDescent="0.3">
      <c r="A31" s="39" t="str">
        <f t="shared" ref="A31" si="40">A30</f>
        <v>NPK-000-A4-DW-028</v>
      </c>
      <c r="B31" s="21" t="str">
        <f t="shared" ref="B31" si="41">B30</f>
        <v xml:space="preserve">LIVING QUARTER FRAMING ELEV LINE </v>
      </c>
      <c r="C31" s="22">
        <f t="shared" ref="C31" ca="1" si="42">IF(ISBLANK(M35),NETWORKDAYS(M32,$W$10),"")</f>
        <v>371</v>
      </c>
      <c r="D31" s="40"/>
      <c r="E31" s="78" t="str">
        <f>IF(AND(NOT(ISBLANK(M35)),ISBLANK(O32)),NETWORKDAYS(M35,$W$10),"")</f>
        <v/>
      </c>
      <c r="F31" s="131"/>
      <c r="G31" s="128"/>
      <c r="H31" s="125"/>
      <c r="I31" s="128"/>
      <c r="J31" s="63" t="s">
        <v>17</v>
      </c>
      <c r="K31" s="55" t="s">
        <v>28</v>
      </c>
      <c r="L31" s="49"/>
      <c r="M31" s="55" t="s">
        <v>32</v>
      </c>
      <c r="N31" s="49"/>
      <c r="O31" s="55"/>
      <c r="P31" s="49"/>
      <c r="Q31" s="55"/>
      <c r="R31" s="49"/>
      <c r="S31" s="55"/>
      <c r="T31" s="49"/>
      <c r="U31" s="55"/>
      <c r="V31" s="49"/>
      <c r="W31" s="123" t="str">
        <f ca="1">IF(D30="APPROVED",1,"")</f>
        <v/>
      </c>
      <c r="X31" s="122">
        <f ca="1">IF(D30="APPROVED WITH COMMENT",1,"")</f>
        <v>1</v>
      </c>
      <c r="Y31" s="122" t="str">
        <f ca="1">IF(D30="NOT APPROVED",1,"")</f>
        <v/>
      </c>
      <c r="Z31" s="122" t="str">
        <f ca="1">IF(D30="INFORMATION",1,"")</f>
        <v/>
      </c>
      <c r="AA31" s="99" t="str">
        <f t="shared" ref="AA31" si="43">N36</f>
        <v/>
      </c>
      <c r="AD31" s="13"/>
      <c r="AF31" s="12"/>
      <c r="AJ31" s="13"/>
      <c r="AL31" s="12"/>
    </row>
    <row r="32" spans="1:38" s="11" customFormat="1" ht="15" customHeight="1" x14ac:dyDescent="0.3">
      <c r="A32" s="39" t="str">
        <f t="shared" si="16"/>
        <v>NPK-000-A4-DW-028</v>
      </c>
      <c r="B32" s="21" t="str">
        <f t="shared" si="17"/>
        <v xml:space="preserve">LIVING QUARTER FRAMING ELEV LINE </v>
      </c>
      <c r="C32" s="22">
        <f t="shared" ref="C32" ca="1" si="44">IF(ISBLANK(O35),NETWORKDAYS(O32,$W$10),"")</f>
        <v>31831</v>
      </c>
      <c r="D32" s="40"/>
      <c r="E32" s="78" t="str">
        <f t="shared" ref="E32" si="45">IF(AND(NOT(ISBLANK(O35)),ISBLANK(Q32)),NETWORKDAYS(O35,$W$10),"")</f>
        <v/>
      </c>
      <c r="F32" s="131"/>
      <c r="G32" s="128"/>
      <c r="H32" s="125"/>
      <c r="I32" s="128"/>
      <c r="J32" s="63" t="s">
        <v>18</v>
      </c>
      <c r="K32" s="53">
        <v>44044</v>
      </c>
      <c r="L32" s="45" t="str">
        <f>IF(AND(K32="",K35=""),"",C30)</f>
        <v/>
      </c>
      <c r="M32" s="53">
        <v>44046</v>
      </c>
      <c r="N32" s="45">
        <f ca="1">IF(AND(M32="",M35=""),"",C31)</f>
        <v>371</v>
      </c>
      <c r="O32" s="53"/>
      <c r="P32" s="45" t="str">
        <f>IF(AND(O32="",O35=""),"",C32)</f>
        <v/>
      </c>
      <c r="Q32" s="53"/>
      <c r="R32" s="45" t="str">
        <f>IF(AND(Q32="",Q35=""),"",C33)</f>
        <v/>
      </c>
      <c r="S32" s="53"/>
      <c r="T32" s="45" t="str">
        <f>IF(AND(S32="",S35=""),"",C34)</f>
        <v/>
      </c>
      <c r="U32" s="53"/>
      <c r="V32" s="45" t="str">
        <f>IF(AND(U32="",U35=""),"",C35)</f>
        <v/>
      </c>
      <c r="W32" s="123"/>
      <c r="X32" s="122"/>
      <c r="Y32" s="122"/>
      <c r="Z32" s="122"/>
      <c r="AA32" s="99" t="str">
        <f t="shared" ref="AA32" si="46">P36</f>
        <v/>
      </c>
      <c r="AD32" s="13"/>
      <c r="AF32" s="12"/>
      <c r="AJ32" s="13"/>
      <c r="AL32" s="12"/>
    </row>
    <row r="33" spans="1:38" s="11" customFormat="1" ht="15" customHeight="1" x14ac:dyDescent="0.3">
      <c r="A33" s="39" t="str">
        <f t="shared" si="16"/>
        <v>NPK-000-A4-DW-028</v>
      </c>
      <c r="B33" s="21" t="str">
        <f t="shared" si="17"/>
        <v xml:space="preserve">LIVING QUARTER FRAMING ELEV LINE </v>
      </c>
      <c r="C33" s="22">
        <f t="shared" ref="C33" ca="1" si="47">IF(ISBLANK(Q35),NETWORKDAYS(Q32,$W$10),"")</f>
        <v>31831</v>
      </c>
      <c r="D33" s="40"/>
      <c r="E33" s="78" t="str">
        <f t="shared" ref="E33" si="48">IF(AND(NOT(ISBLANK(Q35)),ISBLANK(S32)),NETWORKDAYS(Q35,$W$10),"")</f>
        <v/>
      </c>
      <c r="F33" s="131"/>
      <c r="G33" s="128"/>
      <c r="H33" s="125"/>
      <c r="I33" s="128"/>
      <c r="J33" s="63" t="s">
        <v>19</v>
      </c>
      <c r="K33" s="86" t="s">
        <v>89</v>
      </c>
      <c r="L33" s="49"/>
      <c r="M33" s="86"/>
      <c r="N33" s="49"/>
      <c r="O33" s="70"/>
      <c r="P33" s="49"/>
      <c r="Q33" s="70"/>
      <c r="R33" s="49"/>
      <c r="S33" s="70"/>
      <c r="T33" s="49"/>
      <c r="U33" s="70"/>
      <c r="V33" s="49"/>
      <c r="W33" s="123"/>
      <c r="X33" s="122"/>
      <c r="Y33" s="122"/>
      <c r="Z33" s="122"/>
      <c r="AA33" s="99" t="str">
        <f t="shared" ref="AA33" si="49">R36</f>
        <v/>
      </c>
      <c r="AD33" s="13"/>
      <c r="AF33" s="12"/>
      <c r="AJ33" s="13"/>
      <c r="AL33" s="12"/>
    </row>
    <row r="34" spans="1:38" s="11" customFormat="1" ht="15" customHeight="1" x14ac:dyDescent="0.3">
      <c r="A34" s="39" t="str">
        <f t="shared" si="16"/>
        <v>NPK-000-A4-DW-028</v>
      </c>
      <c r="B34" s="21" t="str">
        <f t="shared" si="17"/>
        <v xml:space="preserve">LIVING QUARTER FRAMING ELEV LINE </v>
      </c>
      <c r="C34" s="22">
        <f t="shared" ref="C34" ca="1" si="50">IF(ISBLANK(S35),NETWORKDAYS(S32,$W$10),"")</f>
        <v>31831</v>
      </c>
      <c r="D34" s="40"/>
      <c r="E34" s="78" t="str">
        <f t="shared" ref="E34" si="51">IF(AND(NOT(ISBLANK(S35)),ISBLANK(U32)),NETWORKDAYS(S35,$W$10),"")</f>
        <v/>
      </c>
      <c r="F34" s="131"/>
      <c r="G34" s="128"/>
      <c r="H34" s="125"/>
      <c r="I34" s="128"/>
      <c r="J34" s="64" t="s">
        <v>20</v>
      </c>
      <c r="K34" s="86" t="s">
        <v>35</v>
      </c>
      <c r="L34" s="49"/>
      <c r="M34" s="86"/>
      <c r="N34" s="49"/>
      <c r="O34" s="70"/>
      <c r="P34" s="49"/>
      <c r="Q34" s="70"/>
      <c r="R34" s="49"/>
      <c r="S34" s="70"/>
      <c r="T34" s="49"/>
      <c r="U34" s="70"/>
      <c r="V34" s="49"/>
      <c r="W34" s="123"/>
      <c r="X34" s="122"/>
      <c r="Y34" s="122"/>
      <c r="Z34" s="122"/>
      <c r="AA34" s="99" t="str">
        <f t="shared" ref="AA34" si="52">T36</f>
        <v/>
      </c>
      <c r="AD34" s="13"/>
      <c r="AF34" s="12"/>
      <c r="AJ34" s="13"/>
      <c r="AL34" s="12"/>
    </row>
    <row r="35" spans="1:38" s="11" customFormat="1" ht="15" customHeight="1" thickBot="1" x14ac:dyDescent="0.35">
      <c r="A35" s="41" t="str">
        <f t="shared" si="16"/>
        <v>NPK-000-A4-DW-028</v>
      </c>
      <c r="B35" s="42" t="str">
        <f t="shared" si="17"/>
        <v xml:space="preserve">LIVING QUARTER FRAMING ELEV LINE </v>
      </c>
      <c r="C35" s="43">
        <f t="shared" ref="C35" ca="1" si="53">IF(ISBLANK(U35),NETWORKDAYS(U32,$W$10),"")</f>
        <v>31831</v>
      </c>
      <c r="D35" s="44"/>
      <c r="E35" s="79"/>
      <c r="F35" s="131"/>
      <c r="G35" s="128"/>
      <c r="H35" s="125"/>
      <c r="I35" s="128"/>
      <c r="J35" s="63" t="s">
        <v>18</v>
      </c>
      <c r="K35" s="87">
        <v>44046</v>
      </c>
      <c r="L35" s="45"/>
      <c r="M35" s="87"/>
      <c r="N35" s="45"/>
      <c r="O35" s="71"/>
      <c r="P35" s="45"/>
      <c r="Q35" s="71"/>
      <c r="R35" s="45"/>
      <c r="S35" s="71"/>
      <c r="T35" s="45"/>
      <c r="U35" s="71"/>
      <c r="V35" s="45"/>
      <c r="W35" s="123"/>
      <c r="X35" s="122"/>
      <c r="Y35" s="122"/>
      <c r="Z35" s="122"/>
      <c r="AA35" s="99"/>
      <c r="AD35" s="13"/>
      <c r="AF35" s="12"/>
      <c r="AJ35" s="13"/>
      <c r="AL35" s="12"/>
    </row>
    <row r="36" spans="1:38" s="11" customFormat="1" ht="15" customHeight="1" thickBot="1" x14ac:dyDescent="0.35">
      <c r="A36" s="39"/>
      <c r="B36" s="21"/>
      <c r="C36" s="22"/>
      <c r="D36" s="40"/>
      <c r="E36" s="22"/>
      <c r="F36" s="132"/>
      <c r="G36" s="128"/>
      <c r="H36" s="125"/>
      <c r="I36" s="129"/>
      <c r="J36" s="63" t="s">
        <v>53</v>
      </c>
      <c r="K36" s="66">
        <f t="shared" ref="K36" si="54">IF(NOT(ISBLANK(M32)),NETWORKDAYS(K35,M32),"")</f>
        <v>1</v>
      </c>
      <c r="L36" s="73" t="str">
        <f>IF(K34="APPROVED","",E30)</f>
        <v/>
      </c>
      <c r="M36" s="66" t="str">
        <f t="shared" ref="M36" si="55">IF(NOT(ISBLANK(O32)),NETWORKDAYS(M35,O32),"")</f>
        <v/>
      </c>
      <c r="N36" s="73" t="str">
        <f>IF(M34="APPROVED","",E31)</f>
        <v/>
      </c>
      <c r="O36" s="66" t="str">
        <f t="shared" ref="O36" si="56">IF(NOT(ISBLANK(Q32)),NETWORKDAYS(O35,Q32),"")</f>
        <v/>
      </c>
      <c r="P36" s="73" t="str">
        <f>IF(O34="APPROVED","",E32)</f>
        <v/>
      </c>
      <c r="Q36" s="66" t="str">
        <f t="shared" ref="Q36" si="57">IF(NOT(ISBLANK(S32)),NETWORKDAYS(Q35,$W$10),"")</f>
        <v/>
      </c>
      <c r="R36" s="73" t="str">
        <f>IF(Q34="APPROVED","",E33)</f>
        <v/>
      </c>
      <c r="S36" s="65" t="str">
        <f t="shared" ref="S36" si="58">IF(U32="","",NETWORKDAYS(S35,U32))</f>
        <v/>
      </c>
      <c r="T36" s="67" t="str">
        <f>IF(AND(NOT(ISBLANK(S35)),ISBLANK(U32)),E34,"")</f>
        <v/>
      </c>
      <c r="U36" s="76"/>
      <c r="V36" s="77" t="str">
        <f>IF(AND(NOT(ISBLANK(U35)),ISBLANK(U36)),#REF!,"")</f>
        <v/>
      </c>
      <c r="W36" s="58"/>
      <c r="X36" s="58"/>
      <c r="Y36" s="58"/>
      <c r="Z36" s="58"/>
      <c r="AA36" s="102"/>
      <c r="AD36" s="13"/>
      <c r="AF36" s="12"/>
      <c r="AJ36" s="13"/>
      <c r="AL36" s="12"/>
    </row>
    <row r="37" spans="1:38" s="11" customFormat="1" ht="15" customHeight="1" x14ac:dyDescent="0.3">
      <c r="A37" s="36" t="str">
        <f t="shared" ref="A37" si="59">_xlfn.CONCAT(G37)</f>
        <v>NPK-000-A7-DW-011</v>
      </c>
      <c r="B37" s="37" t="str">
        <f t="shared" ref="B37" si="60">_xlfn.CONCAT(H37)</f>
        <v>LIVING QUARTER FLOOR PLAN 1ST FLOOR , FLOOR PLAN 2ND FLOOR</v>
      </c>
      <c r="C37" s="38" t="str">
        <f t="shared" ref="C37" si="61">IF(ISBLANK(K42),NETWORKDAYS(K39,$W$10),"")</f>
        <v/>
      </c>
      <c r="D37" s="72" t="str">
        <f t="shared" ref="D37" ca="1" si="62">IFERROR(LOOKUP($W$10,K42:V42,K41:V41),"")</f>
        <v>APPROVED WITH COMMENT</v>
      </c>
      <c r="E37" s="72" t="str">
        <f t="shared" ref="E37" si="63">IF(AND(NOT(ISBLANK(K42)),ISBLANK(M39)),NETWORKDAYS(K42,$W$10),"")</f>
        <v/>
      </c>
      <c r="F37" s="130">
        <v>4</v>
      </c>
      <c r="G37" s="167" t="s">
        <v>63</v>
      </c>
      <c r="H37" s="168" t="s">
        <v>64</v>
      </c>
      <c r="I37" s="127" t="s">
        <v>31</v>
      </c>
      <c r="J37" s="63" t="s">
        <v>16</v>
      </c>
      <c r="K37" s="84" t="s">
        <v>80</v>
      </c>
      <c r="L37" s="49"/>
      <c r="M37" s="84" t="s">
        <v>81</v>
      </c>
      <c r="N37" s="49"/>
      <c r="O37" s="84" t="s">
        <v>82</v>
      </c>
      <c r="P37" s="49"/>
      <c r="Q37" s="55"/>
      <c r="R37" s="49"/>
      <c r="S37" s="55"/>
      <c r="T37" s="49"/>
      <c r="U37" s="55"/>
      <c r="V37" s="49"/>
      <c r="W37" s="80"/>
      <c r="X37" s="80"/>
      <c r="Y37" s="80"/>
      <c r="Z37" s="80"/>
      <c r="AA37" s="103" t="str">
        <f t="shared" ref="AA37" si="64">L43</f>
        <v/>
      </c>
      <c r="AD37" s="13"/>
      <c r="AF37" s="12"/>
      <c r="AJ37" s="13"/>
      <c r="AL37" s="12"/>
    </row>
    <row r="38" spans="1:38" s="11" customFormat="1" ht="15" customHeight="1" x14ac:dyDescent="0.3">
      <c r="A38" s="39" t="str">
        <f t="shared" ref="A38" si="65">A37</f>
        <v>NPK-000-A7-DW-011</v>
      </c>
      <c r="B38" s="21" t="str">
        <f t="shared" ref="B38" si="66">B37</f>
        <v>LIVING QUARTER FLOOR PLAN 1ST FLOOR , FLOOR PLAN 2ND FLOOR</v>
      </c>
      <c r="C38" s="22" t="str">
        <f t="shared" ref="C38" si="67">IF(ISBLANK(M42),NETWORKDAYS(M39,$W$10),"")</f>
        <v/>
      </c>
      <c r="D38" s="40"/>
      <c r="E38" s="78" t="str">
        <f t="shared" ref="E38" si="68">IF(AND(NOT(ISBLANK(M42)),ISBLANK(O39)),NETWORKDAYS(M42,$W$10),"")</f>
        <v/>
      </c>
      <c r="F38" s="131"/>
      <c r="G38" s="167"/>
      <c r="H38" s="168"/>
      <c r="I38" s="128"/>
      <c r="J38" s="63" t="s">
        <v>17</v>
      </c>
      <c r="K38" s="86" t="s">
        <v>28</v>
      </c>
      <c r="L38" s="88"/>
      <c r="M38" s="86" t="s">
        <v>32</v>
      </c>
      <c r="N38" s="88"/>
      <c r="O38" s="86" t="s">
        <v>32</v>
      </c>
      <c r="P38" s="88"/>
      <c r="Q38" s="86"/>
      <c r="R38" s="88"/>
      <c r="S38" s="86"/>
      <c r="T38" s="88"/>
      <c r="U38" s="86"/>
      <c r="V38" s="88"/>
      <c r="W38" s="123" t="str">
        <f ca="1">IF(D37="APPROVED",1,"")</f>
        <v/>
      </c>
      <c r="X38" s="122">
        <f ca="1">IF(D37="APPROVED WITH COMMENT",1,"")</f>
        <v>1</v>
      </c>
      <c r="Y38" s="122" t="str">
        <f ca="1">IF(D37="NOT APPROVED",1,"")</f>
        <v/>
      </c>
      <c r="Z38" s="122" t="str">
        <f ca="1">IF(D37="INFORMATION",1,"")</f>
        <v/>
      </c>
      <c r="AA38" s="99" t="str">
        <f t="shared" ref="AA38" si="69">N43</f>
        <v/>
      </c>
      <c r="AD38" s="13"/>
      <c r="AF38" s="12"/>
      <c r="AJ38" s="13"/>
      <c r="AL38" s="12"/>
    </row>
    <row r="39" spans="1:38" s="11" customFormat="1" ht="15" customHeight="1" x14ac:dyDescent="0.3">
      <c r="A39" s="39" t="str">
        <f t="shared" si="16"/>
        <v>NPK-000-A7-DW-011</v>
      </c>
      <c r="B39" s="21" t="str">
        <f t="shared" si="17"/>
        <v>LIVING QUARTER FLOOR PLAN 1ST FLOOR , FLOOR PLAN 2ND FLOOR</v>
      </c>
      <c r="C39" s="22">
        <f t="shared" ref="C39" ca="1" si="70">IF(ISBLANK(O42),NETWORKDAYS(O39,$W$10),"")</f>
        <v>366</v>
      </c>
      <c r="D39" s="40"/>
      <c r="E39" s="78" t="str">
        <f t="shared" ref="E39" si="71">IF(AND(NOT(ISBLANK(O42)),ISBLANK(Q39)),NETWORKDAYS(O42,$W$10),"")</f>
        <v/>
      </c>
      <c r="F39" s="131"/>
      <c r="G39" s="167"/>
      <c r="H39" s="168"/>
      <c r="I39" s="128"/>
      <c r="J39" s="63" t="s">
        <v>18</v>
      </c>
      <c r="K39" s="91">
        <v>44044</v>
      </c>
      <c r="L39" s="89" t="str">
        <f>IF(AND(K39="",K42=""),"",C37)</f>
        <v/>
      </c>
      <c r="M39" s="91">
        <v>44046</v>
      </c>
      <c r="N39" s="89" t="str">
        <f>IF(AND(M39="",M42=""),"",C38)</f>
        <v/>
      </c>
      <c r="O39" s="91">
        <v>44051</v>
      </c>
      <c r="P39" s="89">
        <f ca="1">IF(AND(O39="",O42=""),"",C39)</f>
        <v>366</v>
      </c>
      <c r="Q39" s="91"/>
      <c r="R39" s="89" t="str">
        <f>IF(AND(Q39="",Q42=""),"",C40)</f>
        <v/>
      </c>
      <c r="S39" s="91"/>
      <c r="T39" s="89" t="str">
        <f>IF(AND(S39="",S42=""),"",C41)</f>
        <v/>
      </c>
      <c r="U39" s="91"/>
      <c r="V39" s="89" t="str">
        <f>IF(AND(U39="",U42=""),"",C42)</f>
        <v/>
      </c>
      <c r="W39" s="123"/>
      <c r="X39" s="122"/>
      <c r="Y39" s="122"/>
      <c r="Z39" s="122"/>
      <c r="AA39" s="99" t="str">
        <f t="shared" ref="AA39" si="72">P43</f>
        <v/>
      </c>
      <c r="AD39" s="13"/>
      <c r="AF39" s="12"/>
      <c r="AJ39" s="13"/>
      <c r="AL39" s="12"/>
    </row>
    <row r="40" spans="1:38" s="11" customFormat="1" ht="15" customHeight="1" x14ac:dyDescent="0.3">
      <c r="A40" s="39" t="str">
        <f t="shared" si="16"/>
        <v>NPK-000-A7-DW-011</v>
      </c>
      <c r="B40" s="21" t="str">
        <f t="shared" si="17"/>
        <v>LIVING QUARTER FLOOR PLAN 1ST FLOOR , FLOOR PLAN 2ND FLOOR</v>
      </c>
      <c r="C40" s="22">
        <f t="shared" ref="C40" ca="1" si="73">IF(ISBLANK(Q42),NETWORKDAYS(Q39,$W$10),"")</f>
        <v>31831</v>
      </c>
      <c r="D40" s="40"/>
      <c r="E40" s="78" t="str">
        <f t="shared" ref="E40" si="74">IF(AND(NOT(ISBLANK(Q42)),ISBLANK(S39)),NETWORKDAYS(Q42,$W$10),"")</f>
        <v/>
      </c>
      <c r="F40" s="131"/>
      <c r="G40" s="167"/>
      <c r="H40" s="168"/>
      <c r="I40" s="128"/>
      <c r="J40" s="63" t="s">
        <v>19</v>
      </c>
      <c r="K40" s="86" t="s">
        <v>89</v>
      </c>
      <c r="L40" s="88"/>
      <c r="M40" s="86" t="s">
        <v>90</v>
      </c>
      <c r="N40" s="88"/>
      <c r="O40" s="86"/>
      <c r="P40" s="88"/>
      <c r="Q40" s="86"/>
      <c r="R40" s="88"/>
      <c r="S40" s="86"/>
      <c r="T40" s="88"/>
      <c r="U40" s="86"/>
      <c r="V40" s="88"/>
      <c r="W40" s="123"/>
      <c r="X40" s="122"/>
      <c r="Y40" s="122"/>
      <c r="Z40" s="122"/>
      <c r="AA40" s="99" t="str">
        <f t="shared" ref="AA40" si="75">R43</f>
        <v/>
      </c>
      <c r="AD40" s="13"/>
      <c r="AF40" s="12"/>
      <c r="AJ40" s="13"/>
      <c r="AL40" s="12"/>
    </row>
    <row r="41" spans="1:38" s="11" customFormat="1" ht="15" customHeight="1" x14ac:dyDescent="0.3">
      <c r="A41" s="39" t="str">
        <f t="shared" si="16"/>
        <v>NPK-000-A7-DW-011</v>
      </c>
      <c r="B41" s="21" t="str">
        <f t="shared" si="17"/>
        <v>LIVING QUARTER FLOOR PLAN 1ST FLOOR , FLOOR PLAN 2ND FLOOR</v>
      </c>
      <c r="C41" s="22">
        <f t="shared" ref="C41" ca="1" si="76">IF(ISBLANK(S42),NETWORKDAYS(S39,$W$10),"")</f>
        <v>31831</v>
      </c>
      <c r="D41" s="40"/>
      <c r="E41" s="78" t="str">
        <f t="shared" ref="E41" si="77">IF(AND(NOT(ISBLANK(S42)),ISBLANK(U39)),NETWORKDAYS(S42,$W$10),"")</f>
        <v/>
      </c>
      <c r="F41" s="131"/>
      <c r="G41" s="167"/>
      <c r="H41" s="168"/>
      <c r="I41" s="128"/>
      <c r="J41" s="64" t="s">
        <v>20</v>
      </c>
      <c r="K41" s="87" t="s">
        <v>35</v>
      </c>
      <c r="L41" s="49"/>
      <c r="M41" s="86" t="s">
        <v>35</v>
      </c>
      <c r="N41" s="49"/>
      <c r="O41" s="70"/>
      <c r="P41" s="49"/>
      <c r="Q41" s="70"/>
      <c r="R41" s="49"/>
      <c r="S41" s="70"/>
      <c r="T41" s="49"/>
      <c r="U41" s="70"/>
      <c r="V41" s="49"/>
      <c r="W41" s="123"/>
      <c r="X41" s="122"/>
      <c r="Y41" s="122"/>
      <c r="Z41" s="122"/>
      <c r="AA41" s="99" t="str">
        <f t="shared" ref="AA41" si="78">T43</f>
        <v/>
      </c>
      <c r="AD41" s="13"/>
      <c r="AF41" s="12"/>
      <c r="AJ41" s="13"/>
      <c r="AL41" s="12"/>
    </row>
    <row r="42" spans="1:38" s="11" customFormat="1" ht="15" customHeight="1" thickBot="1" x14ac:dyDescent="0.35">
      <c r="A42" s="41" t="str">
        <f t="shared" si="16"/>
        <v>NPK-000-A7-DW-011</v>
      </c>
      <c r="B42" s="42" t="str">
        <f t="shared" si="17"/>
        <v>LIVING QUARTER FLOOR PLAN 1ST FLOOR , FLOOR PLAN 2ND FLOOR</v>
      </c>
      <c r="C42" s="43">
        <f t="shared" ref="C42" ca="1" si="79">IF(ISBLANK(U42),NETWORKDAYS(U39,$W$10),"")</f>
        <v>31831</v>
      </c>
      <c r="D42" s="44"/>
      <c r="E42" s="79"/>
      <c r="F42" s="131"/>
      <c r="G42" s="167"/>
      <c r="H42" s="168"/>
      <c r="I42" s="128"/>
      <c r="J42" s="63" t="s">
        <v>18</v>
      </c>
      <c r="K42" s="87">
        <v>44046</v>
      </c>
      <c r="L42" s="45"/>
      <c r="M42" s="87">
        <v>44049</v>
      </c>
      <c r="N42" s="45"/>
      <c r="O42" s="71"/>
      <c r="P42" s="45"/>
      <c r="Q42" s="71"/>
      <c r="R42" s="45"/>
      <c r="S42" s="71"/>
      <c r="T42" s="45"/>
      <c r="U42" s="68"/>
      <c r="V42" s="45"/>
      <c r="W42" s="123"/>
      <c r="X42" s="122"/>
      <c r="Y42" s="122"/>
      <c r="Z42" s="122"/>
      <c r="AA42" s="99"/>
      <c r="AD42" s="13"/>
      <c r="AF42" s="12"/>
      <c r="AJ42" s="13"/>
      <c r="AL42" s="12"/>
    </row>
    <row r="43" spans="1:38" s="11" customFormat="1" ht="15" customHeight="1" thickBot="1" x14ac:dyDescent="0.35">
      <c r="A43" s="39"/>
      <c r="B43" s="21"/>
      <c r="C43" s="22"/>
      <c r="D43" s="40"/>
      <c r="E43" s="22"/>
      <c r="F43" s="132"/>
      <c r="G43" s="167"/>
      <c r="H43" s="168"/>
      <c r="I43" s="129"/>
      <c r="J43" s="63" t="s">
        <v>53</v>
      </c>
      <c r="K43" s="66">
        <f t="shared" ref="K43" si="80">IF(NOT(ISBLANK(M39)),NETWORKDAYS(K42,M39),"")</f>
        <v>1</v>
      </c>
      <c r="L43" s="73" t="str">
        <f>IF(K41="APPROVED","",E37)</f>
        <v/>
      </c>
      <c r="M43" s="66">
        <f t="shared" ref="M43" si="81">IF(NOT(ISBLANK(O39)),NETWORKDAYS(M42,O39),"")</f>
        <v>2</v>
      </c>
      <c r="N43" s="73" t="str">
        <f>IF(M41="APPROVED","",E38)</f>
        <v/>
      </c>
      <c r="O43" s="66" t="str">
        <f t="shared" ref="O43" si="82">IF(NOT(ISBLANK(Q39)),NETWORKDAYS(O42,Q39),"")</f>
        <v/>
      </c>
      <c r="P43" s="73" t="str">
        <f>IF(O41="APPROVED","",E39)</f>
        <v/>
      </c>
      <c r="Q43" s="66" t="str">
        <f t="shared" ref="Q43" si="83">IF(NOT(ISBLANK(S39)),NETWORKDAYS(Q42,$W$10),"")</f>
        <v/>
      </c>
      <c r="R43" s="73" t="str">
        <f>IF(Q41="APPROVED","",E40)</f>
        <v/>
      </c>
      <c r="S43" s="65" t="str">
        <f t="shared" ref="S43" si="84">IF(U39="","",NETWORKDAYS(S42,U39))</f>
        <v/>
      </c>
      <c r="T43" s="67" t="str">
        <f>IF(AND(NOT(ISBLANK(S42)),ISBLANK(U39)),E41,"")</f>
        <v/>
      </c>
      <c r="U43" s="76"/>
      <c r="V43" s="77" t="str">
        <f>IF(AND(NOT(ISBLANK(U42)),ISBLANK(U43)),#REF!,"")</f>
        <v/>
      </c>
      <c r="W43" s="58"/>
      <c r="X43" s="58"/>
      <c r="Y43" s="58"/>
      <c r="Z43" s="58"/>
      <c r="AA43" s="102"/>
      <c r="AD43" s="13"/>
      <c r="AF43" s="12"/>
      <c r="AJ43" s="13"/>
      <c r="AL43" s="12"/>
    </row>
    <row r="44" spans="1:38" s="11" customFormat="1" ht="15" customHeight="1" x14ac:dyDescent="0.3">
      <c r="A44" s="36" t="str">
        <f t="shared" ref="A44" si="85">_xlfn.CONCAT(G44)</f>
        <v>NPK-000-A7-DW-012</v>
      </c>
      <c r="B44" s="37" t="str">
        <f t="shared" ref="B44" si="86">_xlfn.CONCAT(H44)</f>
        <v>LIVING QUARTER ROOF PLAN , VIEW AND FIN SCHEDULE</v>
      </c>
      <c r="C44" s="38" t="str">
        <f t="shared" ref="C44" si="87">IF(ISBLANK(K49),NETWORKDAYS(K46,$W$10),"")</f>
        <v/>
      </c>
      <c r="D44" s="72" t="str">
        <f t="shared" ref="D44" ca="1" si="88">IFERROR(LOOKUP($W$10,K49:V49,K48:V48),"")</f>
        <v>NOT APPROVED</v>
      </c>
      <c r="E44" s="72" t="str">
        <f t="shared" ref="E44" si="89">IF(AND(NOT(ISBLANK(K49)),ISBLANK(M46)),NETWORKDAYS(K49,$W$10),"")</f>
        <v/>
      </c>
      <c r="F44" s="130">
        <v>5</v>
      </c>
      <c r="G44" s="169" t="s">
        <v>65</v>
      </c>
      <c r="H44" s="168" t="s">
        <v>66</v>
      </c>
      <c r="I44" s="127" t="s">
        <v>31</v>
      </c>
      <c r="J44" s="63" t="s">
        <v>16</v>
      </c>
      <c r="K44" s="84" t="s">
        <v>80</v>
      </c>
      <c r="L44" s="49"/>
      <c r="M44" s="84" t="s">
        <v>81</v>
      </c>
      <c r="N44" s="49"/>
      <c r="O44" s="84" t="s">
        <v>82</v>
      </c>
      <c r="P44" s="49"/>
      <c r="Q44" s="84" t="s">
        <v>82</v>
      </c>
      <c r="R44" s="49"/>
      <c r="S44" s="55"/>
      <c r="T44" s="49"/>
      <c r="U44" s="55"/>
      <c r="V44" s="49"/>
      <c r="W44" s="80"/>
      <c r="X44" s="80"/>
      <c r="Y44" s="80"/>
      <c r="Z44" s="80"/>
      <c r="AA44" s="103" t="str">
        <f t="shared" ref="AA44" si="90">L50</f>
        <v/>
      </c>
      <c r="AD44" s="13"/>
      <c r="AF44" s="12"/>
      <c r="AJ44" s="13"/>
      <c r="AL44" s="12"/>
    </row>
    <row r="45" spans="1:38" s="11" customFormat="1" ht="15" customHeight="1" x14ac:dyDescent="0.3">
      <c r="A45" s="39" t="str">
        <f t="shared" ref="A45" si="91">A44</f>
        <v>NPK-000-A7-DW-012</v>
      </c>
      <c r="B45" s="21" t="str">
        <f t="shared" ref="B45" si="92">B44</f>
        <v>LIVING QUARTER ROOF PLAN , VIEW AND FIN SCHEDULE</v>
      </c>
      <c r="C45" s="22" t="str">
        <f t="shared" ref="C45" si="93">IF(ISBLANK(M49),NETWORKDAYS(M46,$W$10),"")</f>
        <v/>
      </c>
      <c r="D45" s="40"/>
      <c r="E45" s="78" t="str">
        <f t="shared" ref="E45" si="94">IF(AND(NOT(ISBLANK(M49)),ISBLANK(O46)),NETWORKDAYS(M49,$W$10),"")</f>
        <v/>
      </c>
      <c r="F45" s="131"/>
      <c r="G45" s="169"/>
      <c r="H45" s="168"/>
      <c r="I45" s="128"/>
      <c r="J45" s="63" t="s">
        <v>17</v>
      </c>
      <c r="K45" s="55" t="s">
        <v>28</v>
      </c>
      <c r="L45" s="49"/>
      <c r="M45" s="55" t="s">
        <v>32</v>
      </c>
      <c r="N45" s="49"/>
      <c r="O45" s="55" t="s">
        <v>32</v>
      </c>
      <c r="P45" s="49"/>
      <c r="Q45" s="55" t="s">
        <v>28</v>
      </c>
      <c r="R45" s="49"/>
      <c r="S45" s="55"/>
      <c r="T45" s="49"/>
      <c r="U45" s="55"/>
      <c r="V45" s="49"/>
      <c r="W45" s="123" t="str">
        <f ca="1">IF(D44="APPROVED",1,"")</f>
        <v/>
      </c>
      <c r="X45" s="122" t="str">
        <f ca="1">IF(D44="APPROVED WITH COMMENT",1,"")</f>
        <v/>
      </c>
      <c r="Y45" s="122">
        <f ca="1">IF(D44="NOT APPROVED",1,"")</f>
        <v>1</v>
      </c>
      <c r="Z45" s="122" t="str">
        <f ca="1">IF(D44="INFORMATION",1,"")</f>
        <v/>
      </c>
      <c r="AA45" s="99" t="str">
        <f t="shared" ref="AA45" si="95">N50</f>
        <v/>
      </c>
      <c r="AD45" s="13"/>
      <c r="AF45" s="12"/>
      <c r="AJ45" s="13"/>
      <c r="AL45" s="12"/>
    </row>
    <row r="46" spans="1:38" s="11" customFormat="1" ht="15" customHeight="1" x14ac:dyDescent="0.3">
      <c r="A46" s="39" t="str">
        <f t="shared" si="16"/>
        <v>NPK-000-A7-DW-012</v>
      </c>
      <c r="B46" s="21" t="str">
        <f t="shared" si="17"/>
        <v>LIVING QUARTER ROOF PLAN , VIEW AND FIN SCHEDULE</v>
      </c>
      <c r="C46" s="22" t="str">
        <f t="shared" ref="C46" si="96">IF(ISBLANK(O49),NETWORKDAYS(O46,$W$10),"")</f>
        <v/>
      </c>
      <c r="D46" s="40"/>
      <c r="E46" s="78">
        <f t="shared" ref="E46" ca="1" si="97">IF(AND(NOT(ISBLANK(O49)),ISBLANK(Q46)),NETWORKDAYS(O49,$W$10),"")</f>
        <v>366</v>
      </c>
      <c r="F46" s="131"/>
      <c r="G46" s="169"/>
      <c r="H46" s="168"/>
      <c r="I46" s="128"/>
      <c r="J46" s="63" t="s">
        <v>18</v>
      </c>
      <c r="K46" s="53">
        <v>44044</v>
      </c>
      <c r="L46" s="45" t="str">
        <f>IF(AND(K46="",K49=""),"",C44)</f>
        <v/>
      </c>
      <c r="M46" s="53">
        <v>44046</v>
      </c>
      <c r="N46" s="45" t="str">
        <f>IF(AND(M46="",M49=""),"",C45)</f>
        <v/>
      </c>
      <c r="O46" s="53">
        <v>44051</v>
      </c>
      <c r="P46" s="45" t="str">
        <f>IF(AND(O46="",O49=""),"",C46)</f>
        <v/>
      </c>
      <c r="Q46" s="53"/>
      <c r="R46" s="45" t="str">
        <f>IF(AND(Q46="",Q49=""),"",C47)</f>
        <v/>
      </c>
      <c r="S46" s="53"/>
      <c r="T46" s="45" t="str">
        <f>IF(AND(S46="",S49=""),"",C48)</f>
        <v/>
      </c>
      <c r="U46" s="53"/>
      <c r="V46" s="45" t="str">
        <f>IF(AND(U46="",U49=""),"",C49)</f>
        <v/>
      </c>
      <c r="W46" s="123"/>
      <c r="X46" s="122"/>
      <c r="Y46" s="122"/>
      <c r="Z46" s="122"/>
      <c r="AA46" s="99">
        <f t="shared" ref="AA46" ca="1" si="98">P50</f>
        <v>366</v>
      </c>
      <c r="AD46" s="13"/>
      <c r="AF46" s="12"/>
      <c r="AJ46" s="13"/>
      <c r="AL46" s="12"/>
    </row>
    <row r="47" spans="1:38" s="11" customFormat="1" ht="15" customHeight="1" x14ac:dyDescent="0.3">
      <c r="A47" s="39" t="str">
        <f t="shared" si="16"/>
        <v>NPK-000-A7-DW-012</v>
      </c>
      <c r="B47" s="21" t="str">
        <f t="shared" si="17"/>
        <v>LIVING QUARTER ROOF PLAN , VIEW AND FIN SCHEDULE</v>
      </c>
      <c r="C47" s="22">
        <f t="shared" ref="C47" ca="1" si="99">IF(ISBLANK(Q49),NETWORKDAYS(Q46,$W$10),"")</f>
        <v>31831</v>
      </c>
      <c r="D47" s="40"/>
      <c r="E47" s="78" t="str">
        <f t="shared" ref="E47" si="100">IF(AND(NOT(ISBLANK(Q49)),ISBLANK(S46)),NETWORKDAYS(Q49,$W$10),"")</f>
        <v/>
      </c>
      <c r="F47" s="131"/>
      <c r="G47" s="169"/>
      <c r="H47" s="168"/>
      <c r="I47" s="128"/>
      <c r="J47" s="63" t="s">
        <v>19</v>
      </c>
      <c r="K47" s="86" t="s">
        <v>89</v>
      </c>
      <c r="L47" s="88"/>
      <c r="M47" s="86" t="s">
        <v>90</v>
      </c>
      <c r="N47" s="88"/>
      <c r="O47" s="86" t="s">
        <v>91</v>
      </c>
      <c r="P47" s="88"/>
      <c r="Q47" s="86"/>
      <c r="R47" s="88"/>
      <c r="S47" s="86"/>
      <c r="T47" s="88"/>
      <c r="U47" s="86"/>
      <c r="V47" s="49"/>
      <c r="W47" s="123"/>
      <c r="X47" s="122"/>
      <c r="Y47" s="122"/>
      <c r="Z47" s="122"/>
      <c r="AA47" s="99" t="str">
        <f t="shared" ref="AA47" si="101">R50</f>
        <v/>
      </c>
      <c r="AD47" s="13"/>
      <c r="AF47" s="12"/>
      <c r="AJ47" s="13"/>
      <c r="AL47" s="12"/>
    </row>
    <row r="48" spans="1:38" s="11" customFormat="1" ht="15" customHeight="1" x14ac:dyDescent="0.3">
      <c r="A48" s="39" t="str">
        <f t="shared" si="16"/>
        <v>NPK-000-A7-DW-012</v>
      </c>
      <c r="B48" s="21" t="str">
        <f t="shared" si="17"/>
        <v>LIVING QUARTER ROOF PLAN , VIEW AND FIN SCHEDULE</v>
      </c>
      <c r="C48" s="22">
        <f t="shared" ref="C48" ca="1" si="102">IF(ISBLANK(S49),NETWORKDAYS(S46,$W$10),"")</f>
        <v>31831</v>
      </c>
      <c r="D48" s="40"/>
      <c r="E48" s="78" t="str">
        <f t="shared" ref="E48" si="103">IF(AND(NOT(ISBLANK(S49)),ISBLANK(U46)),NETWORKDAYS(S49,$W$10),"")</f>
        <v/>
      </c>
      <c r="F48" s="131"/>
      <c r="G48" s="169"/>
      <c r="H48" s="168"/>
      <c r="I48" s="128"/>
      <c r="J48" s="64" t="s">
        <v>20</v>
      </c>
      <c r="K48" s="86" t="s">
        <v>35</v>
      </c>
      <c r="L48" s="88"/>
      <c r="M48" s="86" t="s">
        <v>35</v>
      </c>
      <c r="N48" s="88"/>
      <c r="O48" s="86" t="s">
        <v>27</v>
      </c>
      <c r="P48" s="88"/>
      <c r="Q48" s="86"/>
      <c r="R48" s="88"/>
      <c r="S48" s="86"/>
      <c r="T48" s="88"/>
      <c r="U48" s="86"/>
      <c r="V48" s="49"/>
      <c r="W48" s="123"/>
      <c r="X48" s="122"/>
      <c r="Y48" s="122"/>
      <c r="Z48" s="122"/>
      <c r="AA48" s="99" t="str">
        <f t="shared" ref="AA48" si="104">T50</f>
        <v/>
      </c>
      <c r="AD48" s="13"/>
      <c r="AF48" s="12"/>
      <c r="AJ48" s="13"/>
      <c r="AL48" s="12"/>
    </row>
    <row r="49" spans="1:38" s="11" customFormat="1" ht="15" customHeight="1" thickBot="1" x14ac:dyDescent="0.35">
      <c r="A49" s="41" t="str">
        <f t="shared" si="16"/>
        <v>NPK-000-A7-DW-012</v>
      </c>
      <c r="B49" s="42" t="str">
        <f t="shared" si="17"/>
        <v>LIVING QUARTER ROOF PLAN , VIEW AND FIN SCHEDULE</v>
      </c>
      <c r="C49" s="43">
        <f t="shared" ref="C49" ca="1" si="105">IF(ISBLANK(U49),NETWORKDAYS(U46,$W$10),"")</f>
        <v>31831</v>
      </c>
      <c r="D49" s="44"/>
      <c r="E49" s="79"/>
      <c r="F49" s="131"/>
      <c r="G49" s="169"/>
      <c r="H49" s="168"/>
      <c r="I49" s="128"/>
      <c r="J49" s="63" t="s">
        <v>18</v>
      </c>
      <c r="K49" s="87">
        <v>44046</v>
      </c>
      <c r="L49" s="89"/>
      <c r="M49" s="87">
        <v>44049</v>
      </c>
      <c r="N49" s="89"/>
      <c r="O49" s="87">
        <v>44053</v>
      </c>
      <c r="P49" s="89"/>
      <c r="Q49" s="87"/>
      <c r="R49" s="89"/>
      <c r="S49" s="87"/>
      <c r="T49" s="89"/>
      <c r="U49" s="90"/>
      <c r="V49" s="45"/>
      <c r="W49" s="123"/>
      <c r="X49" s="122"/>
      <c r="Y49" s="122"/>
      <c r="Z49" s="122"/>
      <c r="AA49" s="99"/>
      <c r="AD49" s="13"/>
      <c r="AF49" s="12"/>
      <c r="AJ49" s="13"/>
      <c r="AL49" s="12"/>
    </row>
    <row r="50" spans="1:38" s="11" customFormat="1" ht="15" customHeight="1" thickBot="1" x14ac:dyDescent="0.35">
      <c r="A50" s="39"/>
      <c r="B50" s="21"/>
      <c r="C50" s="22"/>
      <c r="D50" s="40"/>
      <c r="E50" s="22"/>
      <c r="F50" s="132"/>
      <c r="G50" s="169"/>
      <c r="H50" s="168"/>
      <c r="I50" s="129"/>
      <c r="J50" s="63" t="s">
        <v>53</v>
      </c>
      <c r="K50" s="66">
        <f t="shared" ref="K50" si="106">IF(NOT(ISBLANK(M46)),NETWORKDAYS(K49,M46),"")</f>
        <v>1</v>
      </c>
      <c r="L50" s="73" t="str">
        <f>IF(K48="APPROVED","",E44)</f>
        <v/>
      </c>
      <c r="M50" s="66">
        <f t="shared" ref="M50" si="107">IF(NOT(ISBLANK(O46)),NETWORKDAYS(M49,O46),"")</f>
        <v>2</v>
      </c>
      <c r="N50" s="73" t="str">
        <f>IF(M48="APPROVED","",E45)</f>
        <v/>
      </c>
      <c r="O50" s="66" t="str">
        <f t="shared" ref="O50" si="108">IF(NOT(ISBLANK(Q46)),NETWORKDAYS(O49,Q46),"")</f>
        <v/>
      </c>
      <c r="P50" s="73">
        <f ca="1">IF(O48="APPROVED","",E46)</f>
        <v>366</v>
      </c>
      <c r="Q50" s="66" t="str">
        <f t="shared" ref="Q50" si="109">IF(NOT(ISBLANK(S46)),NETWORKDAYS(Q49,$W$10),"")</f>
        <v/>
      </c>
      <c r="R50" s="73" t="str">
        <f>IF(Q48="APPROVED","",E47)</f>
        <v/>
      </c>
      <c r="S50" s="65" t="str">
        <f t="shared" ref="S50" si="110">IF(U46="","",NETWORKDAYS(S49,U46))</f>
        <v/>
      </c>
      <c r="T50" s="67" t="str">
        <f>IF(AND(NOT(ISBLANK(S49)),ISBLANK(U46)),E48,"")</f>
        <v/>
      </c>
      <c r="U50" s="76"/>
      <c r="V50" s="77" t="str">
        <f>IF(AND(NOT(ISBLANK(U49)),ISBLANK(U50)),#REF!,"")</f>
        <v/>
      </c>
      <c r="W50" s="58"/>
      <c r="X50" s="58"/>
      <c r="Y50" s="58"/>
      <c r="Z50" s="58"/>
      <c r="AA50" s="102"/>
      <c r="AD50" s="13"/>
      <c r="AF50" s="12"/>
      <c r="AJ50" s="13"/>
      <c r="AL50" s="12"/>
    </row>
    <row r="51" spans="1:38" s="11" customFormat="1" ht="15" customHeight="1" x14ac:dyDescent="0.3">
      <c r="A51" s="36" t="str">
        <f t="shared" ref="A51" si="111">_xlfn.CONCAT(G51)</f>
        <v/>
      </c>
      <c r="B51" s="37" t="str">
        <f t="shared" ref="B51" si="112">_xlfn.CONCAT(H51)</f>
        <v/>
      </c>
      <c r="C51" s="38">
        <f t="shared" ref="C51" ca="1" si="113">IF(ISBLANK(K56),NETWORKDAYS(K53,$W$10),"")</f>
        <v>31831</v>
      </c>
      <c r="D51" s="72" t="str">
        <f t="shared" ref="D51" ca="1" si="114">IFERROR(LOOKUP($W$10,K56:V56,K55:V55),"")</f>
        <v/>
      </c>
      <c r="E51" s="72" t="str">
        <f t="shared" ref="E51" si="115">IF(AND(NOT(ISBLANK(K56)),ISBLANK(M53)),NETWORKDAYS(K56,$W$10),"")</f>
        <v/>
      </c>
      <c r="F51" s="130">
        <v>6</v>
      </c>
      <c r="G51" s="128"/>
      <c r="H51" s="125"/>
      <c r="I51" s="127"/>
      <c r="J51" s="63" t="s">
        <v>16</v>
      </c>
      <c r="K51" s="55"/>
      <c r="L51" s="49"/>
      <c r="M51" s="55"/>
      <c r="N51" s="49"/>
      <c r="O51" s="55"/>
      <c r="P51" s="49"/>
      <c r="Q51" s="55"/>
      <c r="R51" s="49"/>
      <c r="S51" s="55"/>
      <c r="T51" s="49"/>
      <c r="U51" s="55"/>
      <c r="V51" s="49"/>
      <c r="W51" s="80"/>
      <c r="X51" s="80"/>
      <c r="Y51" s="80"/>
      <c r="Z51" s="80"/>
      <c r="AA51" s="103" t="str">
        <f t="shared" ref="AA51" si="116">L57</f>
        <v/>
      </c>
      <c r="AD51" s="13"/>
      <c r="AF51" s="12"/>
      <c r="AJ51" s="13"/>
      <c r="AL51" s="12"/>
    </row>
    <row r="52" spans="1:38" s="11" customFormat="1" ht="15" customHeight="1" x14ac:dyDescent="0.3">
      <c r="A52" s="39" t="str">
        <f t="shared" ref="A52" si="117">A51</f>
        <v/>
      </c>
      <c r="B52" s="21" t="str">
        <f t="shared" ref="B52" si="118">B51</f>
        <v/>
      </c>
      <c r="C52" s="22">
        <f t="shared" ref="C52" ca="1" si="119">IF(ISBLANK(M56),NETWORKDAYS(M53,$W$10),"")</f>
        <v>31831</v>
      </c>
      <c r="D52" s="40"/>
      <c r="E52" s="78" t="str">
        <f t="shared" ref="E52" si="120">IF(AND(NOT(ISBLANK(M56)),ISBLANK(O53)),NETWORKDAYS(M56,$W$10),"")</f>
        <v/>
      </c>
      <c r="F52" s="131"/>
      <c r="G52" s="128"/>
      <c r="H52" s="125"/>
      <c r="I52" s="128"/>
      <c r="J52" s="63" t="s">
        <v>17</v>
      </c>
      <c r="K52" s="55"/>
      <c r="L52" s="49"/>
      <c r="M52" s="55"/>
      <c r="N52" s="49"/>
      <c r="O52" s="55"/>
      <c r="P52" s="49"/>
      <c r="Q52" s="55"/>
      <c r="R52" s="49"/>
      <c r="S52" s="55"/>
      <c r="T52" s="49"/>
      <c r="U52" s="55"/>
      <c r="V52" s="49"/>
      <c r="W52" s="123" t="str">
        <f ca="1">IF(D51="APPROVED",1,"")</f>
        <v/>
      </c>
      <c r="X52" s="122" t="str">
        <f ca="1">IF(D51="APPROVED WITH COMMENT",1,"")</f>
        <v/>
      </c>
      <c r="Y52" s="122" t="str">
        <f ca="1">IF(D51="NOT APPROVED",1,"")</f>
        <v/>
      </c>
      <c r="Z52" s="122" t="str">
        <f ca="1">IF(D51="INFORMATION",1,"")</f>
        <v/>
      </c>
      <c r="AA52" s="99" t="str">
        <f t="shared" ref="AA52" si="121">N57</f>
        <v/>
      </c>
      <c r="AD52" s="13"/>
      <c r="AF52" s="12"/>
      <c r="AJ52" s="13"/>
      <c r="AL52" s="12"/>
    </row>
    <row r="53" spans="1:38" s="11" customFormat="1" ht="15" customHeight="1" x14ac:dyDescent="0.3">
      <c r="A53" s="39" t="str">
        <f t="shared" si="16"/>
        <v/>
      </c>
      <c r="B53" s="21" t="str">
        <f t="shared" si="17"/>
        <v/>
      </c>
      <c r="C53" s="22">
        <f t="shared" ref="C53" ca="1" si="122">IF(ISBLANK(O56),NETWORKDAYS(O53,$W$10),"")</f>
        <v>31831</v>
      </c>
      <c r="D53" s="40"/>
      <c r="E53" s="78" t="str">
        <f t="shared" ref="E53" si="123">IF(AND(NOT(ISBLANK(O56)),ISBLANK(Q53)),NETWORKDAYS(O56,$W$10),"")</f>
        <v/>
      </c>
      <c r="F53" s="131"/>
      <c r="G53" s="128"/>
      <c r="H53" s="125"/>
      <c r="I53" s="128"/>
      <c r="J53" s="63" t="s">
        <v>18</v>
      </c>
      <c r="K53" s="53"/>
      <c r="L53" s="45" t="str">
        <f>IF(AND(K53="",K56=""),"",C51)</f>
        <v/>
      </c>
      <c r="M53" s="53"/>
      <c r="N53" s="45" t="str">
        <f>IF(AND(M53="",M56=""),"",C52)</f>
        <v/>
      </c>
      <c r="O53" s="53"/>
      <c r="P53" s="45" t="str">
        <f>IF(AND(O53="",O56=""),"",C53)</f>
        <v/>
      </c>
      <c r="Q53" s="53"/>
      <c r="R53" s="45" t="str">
        <f>IF(AND(Q53="",Q56=""),"",C54)</f>
        <v/>
      </c>
      <c r="S53" s="53"/>
      <c r="T53" s="45" t="str">
        <f>IF(AND(S53="",S56=""),"",C55)</f>
        <v/>
      </c>
      <c r="U53" s="53"/>
      <c r="V53" s="45" t="str">
        <f>IF(AND(U53="",U56=""),"",C56)</f>
        <v/>
      </c>
      <c r="W53" s="123"/>
      <c r="X53" s="122"/>
      <c r="Y53" s="122"/>
      <c r="Z53" s="122"/>
      <c r="AA53" s="99" t="str">
        <f t="shared" ref="AA53" si="124">P57</f>
        <v/>
      </c>
      <c r="AD53" s="13"/>
      <c r="AF53" s="12"/>
      <c r="AJ53" s="13"/>
      <c r="AL53" s="12"/>
    </row>
    <row r="54" spans="1:38" s="11" customFormat="1" ht="15" customHeight="1" x14ac:dyDescent="0.3">
      <c r="A54" s="39" t="str">
        <f t="shared" si="16"/>
        <v/>
      </c>
      <c r="B54" s="21" t="str">
        <f t="shared" si="17"/>
        <v/>
      </c>
      <c r="C54" s="22">
        <f t="shared" ref="C54" ca="1" si="125">IF(ISBLANK(Q56),NETWORKDAYS(Q53,$W$10),"")</f>
        <v>31831</v>
      </c>
      <c r="D54" s="40"/>
      <c r="E54" s="78" t="str">
        <f t="shared" ref="E54" si="126">IF(AND(NOT(ISBLANK(Q56)),ISBLANK(S53)),NETWORKDAYS(Q56,$W$10),"")</f>
        <v/>
      </c>
      <c r="F54" s="131"/>
      <c r="G54" s="128"/>
      <c r="H54" s="125"/>
      <c r="I54" s="128"/>
      <c r="J54" s="63" t="s">
        <v>19</v>
      </c>
      <c r="K54" s="70"/>
      <c r="L54" s="49"/>
      <c r="M54" s="70"/>
      <c r="N54" s="49"/>
      <c r="O54" s="70"/>
      <c r="P54" s="49"/>
      <c r="Q54" s="70"/>
      <c r="R54" s="49"/>
      <c r="S54" s="70"/>
      <c r="T54" s="49"/>
      <c r="U54" s="70"/>
      <c r="V54" s="49"/>
      <c r="W54" s="123"/>
      <c r="X54" s="122"/>
      <c r="Y54" s="122"/>
      <c r="Z54" s="122"/>
      <c r="AA54" s="99" t="str">
        <f t="shared" ref="AA54" si="127">R57</f>
        <v/>
      </c>
      <c r="AD54" s="13"/>
      <c r="AF54" s="12"/>
      <c r="AJ54" s="13"/>
      <c r="AL54" s="12"/>
    </row>
    <row r="55" spans="1:38" s="11" customFormat="1" ht="15" customHeight="1" x14ac:dyDescent="0.3">
      <c r="A55" s="39" t="str">
        <f t="shared" si="16"/>
        <v/>
      </c>
      <c r="B55" s="21" t="str">
        <f t="shared" si="17"/>
        <v/>
      </c>
      <c r="C55" s="22">
        <f t="shared" ref="C55" ca="1" si="128">IF(ISBLANK(S56),NETWORKDAYS(S53,$W$10),"")</f>
        <v>31831</v>
      </c>
      <c r="D55" s="40"/>
      <c r="E55" s="78" t="str">
        <f t="shared" ref="E55" si="129">IF(AND(NOT(ISBLANK(S56)),ISBLANK(U53)),NETWORKDAYS(S56,$W$10),"")</f>
        <v/>
      </c>
      <c r="F55" s="131"/>
      <c r="G55" s="128"/>
      <c r="H55" s="125"/>
      <c r="I55" s="128"/>
      <c r="J55" s="64" t="s">
        <v>20</v>
      </c>
      <c r="K55" s="70"/>
      <c r="L55" s="49"/>
      <c r="M55" s="70"/>
      <c r="N55" s="49"/>
      <c r="O55" s="70"/>
      <c r="P55" s="49"/>
      <c r="Q55" s="70"/>
      <c r="R55" s="49"/>
      <c r="S55" s="70"/>
      <c r="T55" s="49"/>
      <c r="U55" s="70"/>
      <c r="V55" s="49"/>
      <c r="W55" s="123"/>
      <c r="X55" s="122"/>
      <c r="Y55" s="122"/>
      <c r="Z55" s="122"/>
      <c r="AA55" s="99" t="str">
        <f t="shared" ref="AA55" si="130">T57</f>
        <v/>
      </c>
      <c r="AD55" s="13"/>
      <c r="AF55" s="12"/>
      <c r="AJ55" s="13"/>
      <c r="AL55" s="12"/>
    </row>
    <row r="56" spans="1:38" s="11" customFormat="1" ht="15" customHeight="1" thickBot="1" x14ac:dyDescent="0.35">
      <c r="A56" s="41" t="str">
        <f t="shared" si="16"/>
        <v/>
      </c>
      <c r="B56" s="42" t="str">
        <f t="shared" si="17"/>
        <v/>
      </c>
      <c r="C56" s="43">
        <f t="shared" ref="C56" ca="1" si="131">IF(ISBLANK(U56),NETWORKDAYS(U53,$W$10),"")</f>
        <v>31831</v>
      </c>
      <c r="D56" s="44"/>
      <c r="E56" s="79"/>
      <c r="F56" s="131"/>
      <c r="G56" s="128"/>
      <c r="H56" s="125"/>
      <c r="I56" s="128"/>
      <c r="J56" s="63" t="s">
        <v>18</v>
      </c>
      <c r="K56" s="71"/>
      <c r="L56" s="45"/>
      <c r="M56" s="71"/>
      <c r="N56" s="45"/>
      <c r="O56" s="71"/>
      <c r="P56" s="45"/>
      <c r="Q56" s="71"/>
      <c r="R56" s="45"/>
      <c r="S56" s="71"/>
      <c r="T56" s="45"/>
      <c r="U56" s="68"/>
      <c r="V56" s="45"/>
      <c r="W56" s="123"/>
      <c r="X56" s="122"/>
      <c r="Y56" s="122"/>
      <c r="Z56" s="122"/>
      <c r="AA56" s="99"/>
      <c r="AD56" s="13"/>
      <c r="AF56" s="12"/>
      <c r="AJ56" s="13"/>
      <c r="AL56" s="12"/>
    </row>
    <row r="57" spans="1:38" s="11" customFormat="1" ht="15" customHeight="1" thickBot="1" x14ac:dyDescent="0.35">
      <c r="A57" s="39"/>
      <c r="B57" s="21"/>
      <c r="C57" s="22"/>
      <c r="D57" s="40"/>
      <c r="E57" s="22"/>
      <c r="F57" s="132"/>
      <c r="G57" s="129"/>
      <c r="H57" s="126"/>
      <c r="I57" s="129"/>
      <c r="J57" s="63" t="s">
        <v>53</v>
      </c>
      <c r="K57" s="66" t="str">
        <f t="shared" ref="K57" si="132">IF(NOT(ISBLANK(M53)),NETWORKDAYS(K56,M53),"")</f>
        <v/>
      </c>
      <c r="L57" s="73" t="str">
        <f>IF(K55="APPROVED","",E51)</f>
        <v/>
      </c>
      <c r="M57" s="66" t="str">
        <f t="shared" ref="M57" si="133">IF(NOT(ISBLANK(O53)),NETWORKDAYS(M56,O53),"")</f>
        <v/>
      </c>
      <c r="N57" s="73" t="str">
        <f>IF(M55="APPROVED","",E52)</f>
        <v/>
      </c>
      <c r="O57" s="66" t="str">
        <f t="shared" ref="O57" si="134">IF(NOT(ISBLANK(Q53)),NETWORKDAYS(O56,Q53),"")</f>
        <v/>
      </c>
      <c r="P57" s="73" t="str">
        <f>IF(O55="APPROVED","",E53)</f>
        <v/>
      </c>
      <c r="Q57" s="66" t="str">
        <f t="shared" ref="Q57" si="135">IF(NOT(ISBLANK(S53)),NETWORKDAYS(Q56,$W$10),"")</f>
        <v/>
      </c>
      <c r="R57" s="73" t="str">
        <f>IF(Q55="APPROVED","",E54)</f>
        <v/>
      </c>
      <c r="S57" s="65" t="str">
        <f t="shared" ref="S57" si="136">IF(U53="","",NETWORKDAYS(S56,U53))</f>
        <v/>
      </c>
      <c r="T57" s="67" t="str">
        <f>IF(AND(NOT(ISBLANK(S56)),ISBLANK(U53)),E55,"")</f>
        <v/>
      </c>
      <c r="U57" s="76"/>
      <c r="V57" s="77" t="str">
        <f>IF(AND(NOT(ISBLANK(U56)),ISBLANK(U57)),#REF!,"")</f>
        <v/>
      </c>
      <c r="W57" s="58"/>
      <c r="X57" s="58"/>
      <c r="Y57" s="58"/>
      <c r="Z57" s="58"/>
      <c r="AA57" s="102"/>
      <c r="AD57" s="13"/>
      <c r="AF57" s="12"/>
      <c r="AJ57" s="13"/>
      <c r="AL57" s="12"/>
    </row>
    <row r="58" spans="1:38" s="11" customFormat="1" ht="15" customHeight="1" x14ac:dyDescent="0.3">
      <c r="A58" s="36" t="str">
        <f t="shared" ref="A58" si="137">_xlfn.CONCAT(G58)</f>
        <v/>
      </c>
      <c r="B58" s="37" t="str">
        <f t="shared" ref="B58" si="138">_xlfn.CONCAT(H58)</f>
        <v/>
      </c>
      <c r="C58" s="38">
        <f t="shared" ref="C58" ca="1" si="139">IF(ISBLANK(K63),NETWORKDAYS(K60,$W$10),"")</f>
        <v>31831</v>
      </c>
      <c r="D58" s="72" t="str">
        <f t="shared" ref="D58" ca="1" si="140">IFERROR(LOOKUP($W$10,K63:V63,K62:V62),"")</f>
        <v/>
      </c>
      <c r="E58" s="72" t="str">
        <f t="shared" ref="E58" si="141">IF(AND(NOT(ISBLANK(K63)),ISBLANK(M60)),NETWORKDAYS(K63,$W$10),"")</f>
        <v/>
      </c>
      <c r="F58" s="130">
        <v>7</v>
      </c>
      <c r="G58" s="127"/>
      <c r="H58" s="124"/>
      <c r="I58" s="127"/>
      <c r="J58" s="63" t="s">
        <v>16</v>
      </c>
      <c r="K58" s="55"/>
      <c r="L58" s="49"/>
      <c r="M58" s="55"/>
      <c r="N58" s="49"/>
      <c r="O58" s="55"/>
      <c r="P58" s="49"/>
      <c r="Q58" s="55"/>
      <c r="R58" s="49"/>
      <c r="S58" s="55"/>
      <c r="T58" s="49"/>
      <c r="U58" s="55"/>
      <c r="V58" s="49"/>
      <c r="W58" s="80"/>
      <c r="X58" s="80"/>
      <c r="Y58" s="80"/>
      <c r="Z58" s="80"/>
      <c r="AA58" s="103" t="str">
        <f t="shared" ref="AA58" si="142">L64</f>
        <v/>
      </c>
      <c r="AD58" s="13"/>
      <c r="AF58" s="12"/>
      <c r="AJ58" s="13"/>
      <c r="AL58" s="12"/>
    </row>
    <row r="59" spans="1:38" s="11" customFormat="1" ht="15" customHeight="1" x14ac:dyDescent="0.3">
      <c r="A59" s="39" t="str">
        <f t="shared" ref="A59" si="143">A58</f>
        <v/>
      </c>
      <c r="B59" s="21" t="str">
        <f t="shared" ref="B59" si="144">B58</f>
        <v/>
      </c>
      <c r="C59" s="22">
        <f t="shared" ref="C59" ca="1" si="145">IF(ISBLANK(M63),NETWORKDAYS(M60,$W$10),"")</f>
        <v>31831</v>
      </c>
      <c r="D59" s="40"/>
      <c r="E59" s="78" t="str">
        <f t="shared" ref="E59" si="146">IF(AND(NOT(ISBLANK(M63)),ISBLANK(O60)),NETWORKDAYS(M63,$W$10),"")</f>
        <v/>
      </c>
      <c r="F59" s="131"/>
      <c r="G59" s="128"/>
      <c r="H59" s="125"/>
      <c r="I59" s="128"/>
      <c r="J59" s="63" t="s">
        <v>17</v>
      </c>
      <c r="K59" s="55"/>
      <c r="L59" s="49"/>
      <c r="M59" s="55"/>
      <c r="N59" s="49"/>
      <c r="O59" s="55"/>
      <c r="P59" s="49"/>
      <c r="Q59" s="55"/>
      <c r="R59" s="49"/>
      <c r="S59" s="55"/>
      <c r="T59" s="49"/>
      <c r="U59" s="55"/>
      <c r="V59" s="49"/>
      <c r="W59" s="123" t="str">
        <f ca="1">IF(D58="APPROVED",1,"")</f>
        <v/>
      </c>
      <c r="X59" s="122" t="str">
        <f ca="1">IF(D58="APPROVED WITH COMMENT",1,"")</f>
        <v/>
      </c>
      <c r="Y59" s="122" t="str">
        <f ca="1">IF(D58="NOT APPROVED",1,"")</f>
        <v/>
      </c>
      <c r="Z59" s="122" t="str">
        <f ca="1">IF(D58="INFORMATION",1,"")</f>
        <v/>
      </c>
      <c r="AA59" s="99" t="str">
        <f t="shared" ref="AA59" si="147">N64</f>
        <v/>
      </c>
      <c r="AD59" s="13"/>
      <c r="AF59" s="12"/>
      <c r="AJ59" s="13"/>
      <c r="AL59" s="12"/>
    </row>
    <row r="60" spans="1:38" s="11" customFormat="1" ht="15" customHeight="1" x14ac:dyDescent="0.3">
      <c r="A60" s="39" t="str">
        <f t="shared" si="16"/>
        <v/>
      </c>
      <c r="B60" s="21" t="str">
        <f t="shared" si="17"/>
        <v/>
      </c>
      <c r="C60" s="22">
        <f t="shared" ref="C60" ca="1" si="148">IF(ISBLANK(O63),NETWORKDAYS(O60,$W$10),"")</f>
        <v>31831</v>
      </c>
      <c r="D60" s="40"/>
      <c r="E60" s="78" t="str">
        <f t="shared" ref="E60" si="149">IF(AND(NOT(ISBLANK(O63)),ISBLANK(Q60)),NETWORKDAYS(O63,$W$10),"")</f>
        <v/>
      </c>
      <c r="F60" s="131"/>
      <c r="G60" s="128"/>
      <c r="H60" s="125"/>
      <c r="I60" s="128"/>
      <c r="J60" s="63" t="s">
        <v>18</v>
      </c>
      <c r="K60" s="53"/>
      <c r="L60" s="45" t="str">
        <f>IF(AND(K60="",K63=""),"",C58)</f>
        <v/>
      </c>
      <c r="M60" s="53"/>
      <c r="N60" s="45" t="str">
        <f>IF(AND(M60="",M63=""),"",C59)</f>
        <v/>
      </c>
      <c r="O60" s="53"/>
      <c r="P60" s="45" t="str">
        <f>IF(AND(O60="",O63=""),"",C60)</f>
        <v/>
      </c>
      <c r="Q60" s="53"/>
      <c r="R60" s="45" t="str">
        <f>IF(AND(Q60="",Q63=""),"",C61)</f>
        <v/>
      </c>
      <c r="S60" s="53"/>
      <c r="T60" s="45" t="str">
        <f>IF(AND(S60="",S63=""),"",C62)</f>
        <v/>
      </c>
      <c r="U60" s="53"/>
      <c r="V60" s="45" t="str">
        <f>IF(AND(U60="",U63=""),"",C63)</f>
        <v/>
      </c>
      <c r="W60" s="123"/>
      <c r="X60" s="122"/>
      <c r="Y60" s="122"/>
      <c r="Z60" s="122"/>
      <c r="AA60" s="99" t="str">
        <f t="shared" ref="AA60" si="150">P64</f>
        <v/>
      </c>
      <c r="AD60" s="13"/>
      <c r="AF60" s="12"/>
      <c r="AJ60" s="13"/>
      <c r="AL60" s="12"/>
    </row>
    <row r="61" spans="1:38" s="11" customFormat="1" ht="15" customHeight="1" x14ac:dyDescent="0.3">
      <c r="A61" s="39" t="str">
        <f t="shared" si="16"/>
        <v/>
      </c>
      <c r="B61" s="21" t="str">
        <f t="shared" si="17"/>
        <v/>
      </c>
      <c r="C61" s="22">
        <f t="shared" ref="C61" ca="1" si="151">IF(ISBLANK(Q63),NETWORKDAYS(Q60,$W$10),"")</f>
        <v>31831</v>
      </c>
      <c r="D61" s="40"/>
      <c r="E61" s="78" t="str">
        <f t="shared" ref="E61" si="152">IF(AND(NOT(ISBLANK(Q63)),ISBLANK(S60)),NETWORKDAYS(Q63,$W$10),"")</f>
        <v/>
      </c>
      <c r="F61" s="131"/>
      <c r="G61" s="128"/>
      <c r="H61" s="125"/>
      <c r="I61" s="128"/>
      <c r="J61" s="63" t="s">
        <v>19</v>
      </c>
      <c r="K61" s="70"/>
      <c r="L61" s="49"/>
      <c r="M61" s="70"/>
      <c r="N61" s="49"/>
      <c r="O61" s="70"/>
      <c r="P61" s="49"/>
      <c r="Q61" s="70"/>
      <c r="R61" s="49"/>
      <c r="S61" s="70"/>
      <c r="T61" s="49"/>
      <c r="U61" s="70"/>
      <c r="V61" s="49"/>
      <c r="W61" s="123"/>
      <c r="X61" s="122"/>
      <c r="Y61" s="122"/>
      <c r="Z61" s="122"/>
      <c r="AA61" s="99" t="str">
        <f t="shared" ref="AA61" si="153">R64</f>
        <v/>
      </c>
      <c r="AD61" s="13"/>
      <c r="AF61" s="12"/>
      <c r="AJ61" s="13"/>
      <c r="AL61" s="12"/>
    </row>
    <row r="62" spans="1:38" s="11" customFormat="1" ht="15" customHeight="1" x14ac:dyDescent="0.3">
      <c r="A62" s="39" t="str">
        <f t="shared" si="16"/>
        <v/>
      </c>
      <c r="B62" s="21" t="str">
        <f t="shared" si="17"/>
        <v/>
      </c>
      <c r="C62" s="22">
        <f t="shared" ref="C62" ca="1" si="154">IF(ISBLANK(S63),NETWORKDAYS(S60,$W$10),"")</f>
        <v>31831</v>
      </c>
      <c r="D62" s="40"/>
      <c r="E62" s="78" t="str">
        <f t="shared" ref="E62" si="155">IF(AND(NOT(ISBLANK(S63)),ISBLANK(U60)),NETWORKDAYS(S63,$W$10),"")</f>
        <v/>
      </c>
      <c r="F62" s="131"/>
      <c r="G62" s="128"/>
      <c r="H62" s="125"/>
      <c r="I62" s="128"/>
      <c r="J62" s="64" t="s">
        <v>20</v>
      </c>
      <c r="K62" s="70"/>
      <c r="L62" s="49"/>
      <c r="M62" s="70"/>
      <c r="N62" s="49"/>
      <c r="O62" s="70"/>
      <c r="P62" s="49"/>
      <c r="Q62" s="70"/>
      <c r="R62" s="49"/>
      <c r="S62" s="70"/>
      <c r="T62" s="49"/>
      <c r="U62" s="70"/>
      <c r="V62" s="49"/>
      <c r="W62" s="123"/>
      <c r="X62" s="122"/>
      <c r="Y62" s="122"/>
      <c r="Z62" s="122"/>
      <c r="AA62" s="99" t="str">
        <f t="shared" ref="AA62" si="156">T64</f>
        <v/>
      </c>
      <c r="AD62" s="13"/>
      <c r="AF62" s="12"/>
      <c r="AJ62" s="13"/>
      <c r="AL62" s="12"/>
    </row>
    <row r="63" spans="1:38" s="11" customFormat="1" ht="15" customHeight="1" thickBot="1" x14ac:dyDescent="0.35">
      <c r="A63" s="41" t="str">
        <f t="shared" si="16"/>
        <v/>
      </c>
      <c r="B63" s="42" t="str">
        <f t="shared" si="17"/>
        <v/>
      </c>
      <c r="C63" s="43">
        <f t="shared" ref="C63" ca="1" si="157">IF(ISBLANK(U63),NETWORKDAYS(U60,$W$10),"")</f>
        <v>31831</v>
      </c>
      <c r="D63" s="44"/>
      <c r="E63" s="79"/>
      <c r="F63" s="131"/>
      <c r="G63" s="128"/>
      <c r="H63" s="125"/>
      <c r="I63" s="128"/>
      <c r="J63" s="63" t="s">
        <v>18</v>
      </c>
      <c r="K63" s="71"/>
      <c r="L63" s="45"/>
      <c r="M63" s="71"/>
      <c r="N63" s="45"/>
      <c r="O63" s="71"/>
      <c r="P63" s="45"/>
      <c r="Q63" s="71"/>
      <c r="R63" s="45"/>
      <c r="S63" s="71"/>
      <c r="T63" s="45"/>
      <c r="U63" s="68"/>
      <c r="V63" s="45"/>
      <c r="W63" s="123"/>
      <c r="X63" s="122"/>
      <c r="Y63" s="122"/>
      <c r="Z63" s="122"/>
      <c r="AA63" s="99"/>
      <c r="AD63" s="13"/>
      <c r="AF63" s="12"/>
      <c r="AJ63" s="13"/>
      <c r="AL63" s="12"/>
    </row>
    <row r="64" spans="1:38" s="11" customFormat="1" ht="15" customHeight="1" thickBot="1" x14ac:dyDescent="0.35">
      <c r="A64" s="39"/>
      <c r="B64" s="21"/>
      <c r="C64" s="22"/>
      <c r="D64" s="40"/>
      <c r="E64" s="22"/>
      <c r="F64" s="132"/>
      <c r="G64" s="129"/>
      <c r="H64" s="126"/>
      <c r="I64" s="129"/>
      <c r="J64" s="63" t="s">
        <v>53</v>
      </c>
      <c r="K64" s="66" t="str">
        <f t="shared" ref="K64" si="158">IF(NOT(ISBLANK(M60)),NETWORKDAYS(K63,M60),"")</f>
        <v/>
      </c>
      <c r="L64" s="73" t="str">
        <f>IF(K62="APPROVED","",E58)</f>
        <v/>
      </c>
      <c r="M64" s="66" t="str">
        <f t="shared" ref="M64" si="159">IF(NOT(ISBLANK(O60)),NETWORKDAYS(M63,O60),"")</f>
        <v/>
      </c>
      <c r="N64" s="73" t="str">
        <f>IF(M62="APPROVED","",E59)</f>
        <v/>
      </c>
      <c r="O64" s="66" t="str">
        <f t="shared" ref="O64" si="160">IF(NOT(ISBLANK(Q60)),NETWORKDAYS(O63,Q60),"")</f>
        <v/>
      </c>
      <c r="P64" s="73" t="str">
        <f>IF(O62="APPROVED","",E60)</f>
        <v/>
      </c>
      <c r="Q64" s="66" t="str">
        <f t="shared" ref="Q64" si="161">IF(NOT(ISBLANK(S60)),NETWORKDAYS(Q63,$W$10),"")</f>
        <v/>
      </c>
      <c r="R64" s="73" t="str">
        <f>IF(Q62="APPROVED","",E61)</f>
        <v/>
      </c>
      <c r="S64" s="65" t="str">
        <f t="shared" ref="S64" si="162">IF(U60="","",NETWORKDAYS(S63,U60))</f>
        <v/>
      </c>
      <c r="T64" s="67" t="str">
        <f>IF(AND(NOT(ISBLANK(S63)),ISBLANK(U60)),E62,"")</f>
        <v/>
      </c>
      <c r="U64" s="76"/>
      <c r="V64" s="77" t="str">
        <f>IF(AND(NOT(ISBLANK(U63)),ISBLANK(U64)),#REF!,"")</f>
        <v/>
      </c>
      <c r="W64" s="58"/>
      <c r="X64" s="58"/>
      <c r="Y64" s="58"/>
      <c r="Z64" s="58"/>
      <c r="AA64" s="102"/>
      <c r="AD64" s="13"/>
      <c r="AF64" s="12"/>
      <c r="AJ64" s="13"/>
      <c r="AL64" s="12"/>
    </row>
    <row r="65" spans="1:38" s="11" customFormat="1" ht="15" customHeight="1" x14ac:dyDescent="0.3">
      <c r="A65" s="36" t="str">
        <f t="shared" ref="A65" si="163">_xlfn.CONCAT(G65)</f>
        <v/>
      </c>
      <c r="B65" s="37" t="str">
        <f t="shared" ref="B65" si="164">_xlfn.CONCAT(H65)</f>
        <v/>
      </c>
      <c r="C65" s="38">
        <f t="shared" ref="C65" ca="1" si="165">IF(ISBLANK(K70),NETWORKDAYS(K67,$W$10),"")</f>
        <v>31831</v>
      </c>
      <c r="D65" s="72" t="str">
        <f t="shared" ref="D65" ca="1" si="166">IFERROR(LOOKUP($W$10,K70:V70,K69:V69),"")</f>
        <v/>
      </c>
      <c r="E65" s="72" t="str">
        <f t="shared" ref="E65" si="167">IF(AND(NOT(ISBLANK(K70)),ISBLANK(M67)),NETWORKDAYS(K70,$W$10),"")</f>
        <v/>
      </c>
      <c r="F65" s="130">
        <v>8</v>
      </c>
      <c r="G65" s="127"/>
      <c r="H65" s="124"/>
      <c r="I65" s="127"/>
      <c r="J65" s="63" t="s">
        <v>16</v>
      </c>
      <c r="K65" s="55"/>
      <c r="L65" s="49"/>
      <c r="M65" s="55"/>
      <c r="N65" s="49"/>
      <c r="O65" s="55"/>
      <c r="P65" s="49"/>
      <c r="Q65" s="55"/>
      <c r="R65" s="49"/>
      <c r="S65" s="55"/>
      <c r="T65" s="49"/>
      <c r="U65" s="55"/>
      <c r="V65" s="49"/>
      <c r="W65" s="80"/>
      <c r="X65" s="80"/>
      <c r="Y65" s="80"/>
      <c r="Z65" s="80"/>
      <c r="AA65" s="103" t="str">
        <f t="shared" ref="AA65" si="168">L71</f>
        <v/>
      </c>
      <c r="AD65" s="13"/>
      <c r="AF65" s="12"/>
      <c r="AJ65" s="13"/>
      <c r="AL65" s="12"/>
    </row>
    <row r="66" spans="1:38" s="11" customFormat="1" ht="15" customHeight="1" x14ac:dyDescent="0.3">
      <c r="A66" s="39" t="str">
        <f t="shared" ref="A66" si="169">A65</f>
        <v/>
      </c>
      <c r="B66" s="21" t="str">
        <f t="shared" ref="B66" si="170">B65</f>
        <v/>
      </c>
      <c r="C66" s="22">
        <f t="shared" ref="C66" ca="1" si="171">IF(ISBLANK(M70),NETWORKDAYS(M67,$W$10),"")</f>
        <v>31831</v>
      </c>
      <c r="D66" s="40"/>
      <c r="E66" s="78" t="str">
        <f t="shared" ref="E66" si="172">IF(AND(NOT(ISBLANK(M70)),ISBLANK(O67)),NETWORKDAYS(M70,$W$10),"")</f>
        <v/>
      </c>
      <c r="F66" s="131"/>
      <c r="G66" s="128"/>
      <c r="H66" s="125"/>
      <c r="I66" s="128"/>
      <c r="J66" s="63" t="s">
        <v>17</v>
      </c>
      <c r="K66" s="55"/>
      <c r="L66" s="49"/>
      <c r="M66" s="55"/>
      <c r="N66" s="49"/>
      <c r="O66" s="55"/>
      <c r="P66" s="49"/>
      <c r="Q66" s="55"/>
      <c r="R66" s="49"/>
      <c r="S66" s="55"/>
      <c r="T66" s="49"/>
      <c r="U66" s="55"/>
      <c r="V66" s="49"/>
      <c r="W66" s="123" t="str">
        <f ca="1">IF(D65="APPROVED",1,"")</f>
        <v/>
      </c>
      <c r="X66" s="122" t="str">
        <f ca="1">IF(D65="APPROVED WITH COMMENT",1,"")</f>
        <v/>
      </c>
      <c r="Y66" s="122" t="str">
        <f ca="1">IF(D65="NOT APPROVED",1,"")</f>
        <v/>
      </c>
      <c r="Z66" s="122" t="str">
        <f ca="1">IF(D65="INFORMATION",1,"")</f>
        <v/>
      </c>
      <c r="AA66" s="99" t="str">
        <f t="shared" ref="AA66" si="173">N71</f>
        <v/>
      </c>
      <c r="AD66" s="13"/>
      <c r="AF66" s="12"/>
      <c r="AJ66" s="13"/>
      <c r="AL66" s="12"/>
    </row>
    <row r="67" spans="1:38" s="11" customFormat="1" ht="15" customHeight="1" x14ac:dyDescent="0.3">
      <c r="A67" s="39" t="str">
        <f t="shared" si="16"/>
        <v/>
      </c>
      <c r="B67" s="21" t="str">
        <f t="shared" si="17"/>
        <v/>
      </c>
      <c r="C67" s="22">
        <f t="shared" ref="C67" ca="1" si="174">IF(ISBLANK(O70),NETWORKDAYS(O67,$W$10),"")</f>
        <v>31831</v>
      </c>
      <c r="D67" s="40"/>
      <c r="E67" s="78" t="str">
        <f t="shared" ref="E67" si="175">IF(AND(NOT(ISBLANK(O70)),ISBLANK(Q67)),NETWORKDAYS(O70,$W$10),"")</f>
        <v/>
      </c>
      <c r="F67" s="131"/>
      <c r="G67" s="128"/>
      <c r="H67" s="125"/>
      <c r="I67" s="128"/>
      <c r="J67" s="63" t="s">
        <v>18</v>
      </c>
      <c r="K67" s="53"/>
      <c r="L67" s="45" t="str">
        <f>IF(AND(K67="",K70=""),"",C65)</f>
        <v/>
      </c>
      <c r="M67" s="53"/>
      <c r="N67" s="45" t="str">
        <f>IF(AND(M67="",M70=""),"",C66)</f>
        <v/>
      </c>
      <c r="O67" s="53"/>
      <c r="P67" s="45" t="str">
        <f>IF(AND(O67="",O70=""),"",C67)</f>
        <v/>
      </c>
      <c r="Q67" s="53"/>
      <c r="R67" s="45" t="str">
        <f>IF(AND(Q67="",Q70=""),"",C68)</f>
        <v/>
      </c>
      <c r="S67" s="53"/>
      <c r="T67" s="45" t="str">
        <f>IF(AND(S67="",S70=""),"",C69)</f>
        <v/>
      </c>
      <c r="U67" s="53"/>
      <c r="V67" s="45" t="str">
        <f>IF(AND(U67="",U70=""),"",C70)</f>
        <v/>
      </c>
      <c r="W67" s="123"/>
      <c r="X67" s="122"/>
      <c r="Y67" s="122"/>
      <c r="Z67" s="122"/>
      <c r="AA67" s="99" t="str">
        <f t="shared" ref="AA67" si="176">P71</f>
        <v/>
      </c>
      <c r="AD67" s="13"/>
      <c r="AF67" s="12"/>
      <c r="AJ67" s="13"/>
      <c r="AL67" s="12"/>
    </row>
    <row r="68" spans="1:38" s="11" customFormat="1" ht="15" customHeight="1" x14ac:dyDescent="0.3">
      <c r="A68" s="39" t="str">
        <f t="shared" si="16"/>
        <v/>
      </c>
      <c r="B68" s="21" t="str">
        <f t="shared" si="17"/>
        <v/>
      </c>
      <c r="C68" s="22">
        <f t="shared" ref="C68" ca="1" si="177">IF(ISBLANK(Q70),NETWORKDAYS(Q67,$W$10),"")</f>
        <v>31831</v>
      </c>
      <c r="D68" s="40"/>
      <c r="E68" s="78" t="str">
        <f t="shared" ref="E68" si="178">IF(AND(NOT(ISBLANK(Q70)),ISBLANK(S67)),NETWORKDAYS(Q70,$W$10),"")</f>
        <v/>
      </c>
      <c r="F68" s="131"/>
      <c r="G68" s="128"/>
      <c r="H68" s="125"/>
      <c r="I68" s="128"/>
      <c r="J68" s="63" t="s">
        <v>19</v>
      </c>
      <c r="K68" s="70"/>
      <c r="L68" s="49"/>
      <c r="M68" s="70"/>
      <c r="N68" s="49"/>
      <c r="O68" s="70"/>
      <c r="P68" s="49"/>
      <c r="Q68" s="70"/>
      <c r="R68" s="49"/>
      <c r="S68" s="70"/>
      <c r="T68" s="49"/>
      <c r="U68" s="70"/>
      <c r="V68" s="49"/>
      <c r="W68" s="123"/>
      <c r="X68" s="122"/>
      <c r="Y68" s="122"/>
      <c r="Z68" s="122"/>
      <c r="AA68" s="99" t="str">
        <f t="shared" ref="AA68" si="179">R71</f>
        <v/>
      </c>
      <c r="AD68" s="13"/>
      <c r="AF68" s="12"/>
      <c r="AJ68" s="13"/>
      <c r="AL68" s="12"/>
    </row>
    <row r="69" spans="1:38" s="11" customFormat="1" ht="15" customHeight="1" x14ac:dyDescent="0.3">
      <c r="A69" s="39" t="str">
        <f t="shared" si="16"/>
        <v/>
      </c>
      <c r="B69" s="21" t="str">
        <f t="shared" si="17"/>
        <v/>
      </c>
      <c r="C69" s="22">
        <f t="shared" ref="C69" ca="1" si="180">IF(ISBLANK(S70),NETWORKDAYS(S67,$W$10),"")</f>
        <v>31831</v>
      </c>
      <c r="D69" s="40"/>
      <c r="E69" s="78" t="str">
        <f t="shared" ref="E69" si="181">IF(AND(NOT(ISBLANK(S70)),ISBLANK(U67)),NETWORKDAYS(S70,$W$10),"")</f>
        <v/>
      </c>
      <c r="F69" s="131"/>
      <c r="G69" s="128"/>
      <c r="H69" s="125"/>
      <c r="I69" s="128"/>
      <c r="J69" s="64" t="s">
        <v>20</v>
      </c>
      <c r="K69" s="70"/>
      <c r="L69" s="49"/>
      <c r="M69" s="70"/>
      <c r="N69" s="49"/>
      <c r="O69" s="70"/>
      <c r="P69" s="49"/>
      <c r="Q69" s="70"/>
      <c r="R69" s="49"/>
      <c r="S69" s="70"/>
      <c r="T69" s="49"/>
      <c r="U69" s="70"/>
      <c r="V69" s="49"/>
      <c r="W69" s="123"/>
      <c r="X69" s="122"/>
      <c r="Y69" s="122"/>
      <c r="Z69" s="122"/>
      <c r="AA69" s="99" t="str">
        <f t="shared" ref="AA69" si="182">T71</f>
        <v/>
      </c>
      <c r="AD69" s="13"/>
      <c r="AF69" s="12"/>
      <c r="AJ69" s="13"/>
      <c r="AL69" s="12"/>
    </row>
    <row r="70" spans="1:38" s="11" customFormat="1" ht="15" customHeight="1" thickBot="1" x14ac:dyDescent="0.35">
      <c r="A70" s="41" t="str">
        <f t="shared" si="16"/>
        <v/>
      </c>
      <c r="B70" s="42" t="str">
        <f t="shared" si="17"/>
        <v/>
      </c>
      <c r="C70" s="43">
        <f t="shared" ref="C70" ca="1" si="183">IF(ISBLANK(U70),NETWORKDAYS(U67,$W$10),"")</f>
        <v>31831</v>
      </c>
      <c r="D70" s="44"/>
      <c r="E70" s="79"/>
      <c r="F70" s="131"/>
      <c r="G70" s="128"/>
      <c r="H70" s="125"/>
      <c r="I70" s="128"/>
      <c r="J70" s="63" t="s">
        <v>18</v>
      </c>
      <c r="K70" s="71"/>
      <c r="L70" s="45"/>
      <c r="M70" s="71"/>
      <c r="N70" s="45"/>
      <c r="O70" s="71"/>
      <c r="P70" s="45"/>
      <c r="Q70" s="71"/>
      <c r="R70" s="45"/>
      <c r="S70" s="71"/>
      <c r="T70" s="45"/>
      <c r="U70" s="68"/>
      <c r="V70" s="45"/>
      <c r="W70" s="123"/>
      <c r="X70" s="122"/>
      <c r="Y70" s="122"/>
      <c r="Z70" s="122"/>
      <c r="AA70" s="99"/>
      <c r="AD70" s="13"/>
      <c r="AF70" s="12"/>
      <c r="AJ70" s="13"/>
      <c r="AL70" s="12"/>
    </row>
    <row r="71" spans="1:38" s="11" customFormat="1" ht="15" customHeight="1" thickBot="1" x14ac:dyDescent="0.35">
      <c r="A71" s="39"/>
      <c r="B71" s="21"/>
      <c r="C71" s="22"/>
      <c r="D71" s="40"/>
      <c r="E71" s="22"/>
      <c r="F71" s="132"/>
      <c r="G71" s="129"/>
      <c r="H71" s="126"/>
      <c r="I71" s="129"/>
      <c r="J71" s="63" t="s">
        <v>53</v>
      </c>
      <c r="K71" s="66" t="str">
        <f t="shared" ref="K71" si="184">IF(NOT(ISBLANK(M67)),NETWORKDAYS(K70,M67),"")</f>
        <v/>
      </c>
      <c r="L71" s="73" t="str">
        <f>IF(K69="APPROVED","",E65)</f>
        <v/>
      </c>
      <c r="M71" s="66" t="str">
        <f t="shared" ref="M71" si="185">IF(NOT(ISBLANK(O67)),NETWORKDAYS(M70,O67),"")</f>
        <v/>
      </c>
      <c r="N71" s="73" t="str">
        <f>IF(M69="APPROVED","",E66)</f>
        <v/>
      </c>
      <c r="O71" s="66" t="str">
        <f t="shared" ref="O71" si="186">IF(NOT(ISBLANK(Q67)),NETWORKDAYS(O70,Q67),"")</f>
        <v/>
      </c>
      <c r="P71" s="73" t="str">
        <f>IF(O69="APPROVED","",E67)</f>
        <v/>
      </c>
      <c r="Q71" s="66" t="str">
        <f t="shared" ref="Q71" si="187">IF(NOT(ISBLANK(S67)),NETWORKDAYS(Q70,$W$10),"")</f>
        <v/>
      </c>
      <c r="R71" s="73" t="str">
        <f>IF(Q69="APPROVED","",E68)</f>
        <v/>
      </c>
      <c r="S71" s="65" t="str">
        <f t="shared" ref="S71" si="188">IF(U67="","",NETWORKDAYS(S70,U67))</f>
        <v/>
      </c>
      <c r="T71" s="67" t="str">
        <f>IF(AND(NOT(ISBLANK(S70)),ISBLANK(U67)),E69,"")</f>
        <v/>
      </c>
      <c r="U71" s="76"/>
      <c r="V71" s="77" t="str">
        <f>IF(AND(NOT(ISBLANK(U70)),ISBLANK(U71)),#REF!,"")</f>
        <v/>
      </c>
      <c r="W71" s="58"/>
      <c r="X71" s="58"/>
      <c r="Y71" s="58"/>
      <c r="Z71" s="58"/>
      <c r="AA71" s="102"/>
      <c r="AD71" s="13"/>
      <c r="AF71" s="12"/>
      <c r="AJ71" s="13"/>
      <c r="AL71" s="12"/>
    </row>
    <row r="72" spans="1:38" s="11" customFormat="1" ht="15" customHeight="1" x14ac:dyDescent="0.3">
      <c r="A72" s="36" t="str">
        <f t="shared" ref="A72" si="189">_xlfn.CONCAT(G72)</f>
        <v/>
      </c>
      <c r="B72" s="37" t="str">
        <f t="shared" ref="B72" si="190">_xlfn.CONCAT(H72)</f>
        <v/>
      </c>
      <c r="C72" s="38">
        <f t="shared" ref="C72" ca="1" si="191">IF(ISBLANK(K77),NETWORKDAYS(K74,$W$10),"")</f>
        <v>31831</v>
      </c>
      <c r="D72" s="72" t="str">
        <f t="shared" ref="D72" ca="1" si="192">IFERROR(LOOKUP($W$10,K77:V77,K76:V76),"")</f>
        <v/>
      </c>
      <c r="E72" s="72" t="str">
        <f t="shared" ref="E72" si="193">IF(AND(NOT(ISBLANK(K77)),ISBLANK(M74)),NETWORKDAYS(K77,$W$10),"")</f>
        <v/>
      </c>
      <c r="F72" s="130">
        <v>9</v>
      </c>
      <c r="G72" s="127"/>
      <c r="H72" s="124"/>
      <c r="I72" s="127"/>
      <c r="J72" s="63" t="s">
        <v>16</v>
      </c>
      <c r="K72" s="55"/>
      <c r="L72" s="49"/>
      <c r="M72" s="55"/>
      <c r="N72" s="49"/>
      <c r="O72" s="55"/>
      <c r="P72" s="49"/>
      <c r="Q72" s="55"/>
      <c r="R72" s="49"/>
      <c r="S72" s="55"/>
      <c r="T72" s="49"/>
      <c r="U72" s="55"/>
      <c r="V72" s="49"/>
      <c r="W72" s="80"/>
      <c r="X72" s="80"/>
      <c r="Y72" s="80"/>
      <c r="Z72" s="80"/>
      <c r="AA72" s="103" t="str">
        <f t="shared" ref="AA72" si="194">L78</f>
        <v/>
      </c>
      <c r="AD72" s="13"/>
      <c r="AF72" s="12"/>
      <c r="AJ72" s="13"/>
      <c r="AL72" s="12"/>
    </row>
    <row r="73" spans="1:38" s="11" customFormat="1" ht="15" customHeight="1" x14ac:dyDescent="0.3">
      <c r="A73" s="39" t="str">
        <f t="shared" ref="A73" si="195">A72</f>
        <v/>
      </c>
      <c r="B73" s="21" t="str">
        <f t="shared" ref="B73" si="196">B72</f>
        <v/>
      </c>
      <c r="C73" s="22">
        <f t="shared" ref="C73" ca="1" si="197">IF(ISBLANK(M77),NETWORKDAYS(M74,$W$10),"")</f>
        <v>31831</v>
      </c>
      <c r="D73" s="40"/>
      <c r="E73" s="78" t="str">
        <f t="shared" ref="E73" si="198">IF(AND(NOT(ISBLANK(M77)),ISBLANK(O74)),NETWORKDAYS(M77,$W$10),"")</f>
        <v/>
      </c>
      <c r="F73" s="131"/>
      <c r="G73" s="128"/>
      <c r="H73" s="125"/>
      <c r="I73" s="128"/>
      <c r="J73" s="63" t="s">
        <v>17</v>
      </c>
      <c r="K73" s="55"/>
      <c r="L73" s="49"/>
      <c r="M73" s="55"/>
      <c r="N73" s="49"/>
      <c r="O73" s="55"/>
      <c r="P73" s="49"/>
      <c r="Q73" s="55"/>
      <c r="R73" s="49"/>
      <c r="S73" s="55"/>
      <c r="T73" s="49"/>
      <c r="U73" s="55"/>
      <c r="V73" s="49"/>
      <c r="W73" s="123" t="str">
        <f ca="1">IF(D72="APPROVED",1,"")</f>
        <v/>
      </c>
      <c r="X73" s="122" t="str">
        <f ca="1">IF(D72="APPROVED WITH COMMENT",1,"")</f>
        <v/>
      </c>
      <c r="Y73" s="122" t="str">
        <f ca="1">IF(D72="NOT APPROVED",1,"")</f>
        <v/>
      </c>
      <c r="Z73" s="122" t="str">
        <f ca="1">IF(D72="INFORMATION",1,"")</f>
        <v/>
      </c>
      <c r="AA73" s="99" t="str">
        <f t="shared" ref="AA73" si="199">N78</f>
        <v/>
      </c>
      <c r="AD73" s="13"/>
      <c r="AF73" s="12"/>
      <c r="AJ73" s="13"/>
      <c r="AL73" s="12"/>
    </row>
    <row r="74" spans="1:38" s="11" customFormat="1" ht="15" customHeight="1" x14ac:dyDescent="0.3">
      <c r="A74" s="39" t="str">
        <f t="shared" si="16"/>
        <v/>
      </c>
      <c r="B74" s="21" t="str">
        <f t="shared" si="17"/>
        <v/>
      </c>
      <c r="C74" s="22">
        <f t="shared" ref="C74" ca="1" si="200">IF(ISBLANK(O77),NETWORKDAYS(O74,$W$10),"")</f>
        <v>31831</v>
      </c>
      <c r="D74" s="40"/>
      <c r="E74" s="78" t="str">
        <f t="shared" ref="E74" si="201">IF(AND(NOT(ISBLANK(O77)),ISBLANK(Q74)),NETWORKDAYS(O77,$W$10),"")</f>
        <v/>
      </c>
      <c r="F74" s="131"/>
      <c r="G74" s="128"/>
      <c r="H74" s="125"/>
      <c r="I74" s="128"/>
      <c r="J74" s="63" t="s">
        <v>18</v>
      </c>
      <c r="K74" s="53"/>
      <c r="L74" s="45" t="str">
        <f>IF(AND(K74="",K77=""),"",C72)</f>
        <v/>
      </c>
      <c r="M74" s="53"/>
      <c r="N74" s="45" t="str">
        <f>IF(AND(M74="",M77=""),"",C73)</f>
        <v/>
      </c>
      <c r="O74" s="53"/>
      <c r="P74" s="45" t="str">
        <f>IF(AND(O74="",O77=""),"",C74)</f>
        <v/>
      </c>
      <c r="Q74" s="53"/>
      <c r="R74" s="45" t="str">
        <f>IF(AND(Q74="",Q77=""),"",C75)</f>
        <v/>
      </c>
      <c r="S74" s="53"/>
      <c r="T74" s="45" t="str">
        <f>IF(AND(S74="",S77=""),"",C76)</f>
        <v/>
      </c>
      <c r="U74" s="53"/>
      <c r="V74" s="45" t="str">
        <f>IF(AND(U74="",U77=""),"",C77)</f>
        <v/>
      </c>
      <c r="W74" s="123"/>
      <c r="X74" s="122"/>
      <c r="Y74" s="122"/>
      <c r="Z74" s="122"/>
      <c r="AA74" s="99" t="str">
        <f t="shared" ref="AA74" si="202">P78</f>
        <v/>
      </c>
      <c r="AD74" s="13"/>
      <c r="AF74" s="12"/>
      <c r="AJ74" s="13"/>
      <c r="AL74" s="12"/>
    </row>
    <row r="75" spans="1:38" s="11" customFormat="1" ht="15" customHeight="1" x14ac:dyDescent="0.3">
      <c r="A75" s="39" t="str">
        <f t="shared" si="16"/>
        <v/>
      </c>
      <c r="B75" s="21" t="str">
        <f t="shared" si="17"/>
        <v/>
      </c>
      <c r="C75" s="22">
        <f t="shared" ref="C75" ca="1" si="203">IF(ISBLANK(Q77),NETWORKDAYS(Q74,$W$10),"")</f>
        <v>31831</v>
      </c>
      <c r="D75" s="40"/>
      <c r="E75" s="78" t="str">
        <f t="shared" ref="E75" si="204">IF(AND(NOT(ISBLANK(Q77)),ISBLANK(S74)),NETWORKDAYS(Q77,$W$10),"")</f>
        <v/>
      </c>
      <c r="F75" s="131"/>
      <c r="G75" s="128"/>
      <c r="H75" s="125"/>
      <c r="I75" s="128"/>
      <c r="J75" s="63" t="s">
        <v>19</v>
      </c>
      <c r="K75" s="70"/>
      <c r="L75" s="49"/>
      <c r="M75" s="70"/>
      <c r="N75" s="49"/>
      <c r="O75" s="70"/>
      <c r="P75" s="49"/>
      <c r="Q75" s="70"/>
      <c r="R75" s="49"/>
      <c r="S75" s="70"/>
      <c r="T75" s="49"/>
      <c r="U75" s="70"/>
      <c r="V75" s="49"/>
      <c r="W75" s="123"/>
      <c r="X75" s="122"/>
      <c r="Y75" s="122"/>
      <c r="Z75" s="122"/>
      <c r="AA75" s="99" t="str">
        <f t="shared" ref="AA75" si="205">R78</f>
        <v/>
      </c>
      <c r="AD75" s="13"/>
      <c r="AF75" s="12"/>
      <c r="AJ75" s="13"/>
      <c r="AL75" s="12"/>
    </row>
    <row r="76" spans="1:38" s="11" customFormat="1" ht="15" customHeight="1" x14ac:dyDescent="0.3">
      <c r="A76" s="39" t="str">
        <f t="shared" si="16"/>
        <v/>
      </c>
      <c r="B76" s="21" t="str">
        <f t="shared" si="17"/>
        <v/>
      </c>
      <c r="C76" s="22">
        <f t="shared" ref="C76" ca="1" si="206">IF(ISBLANK(S77),NETWORKDAYS(S74,$W$10),"")</f>
        <v>31831</v>
      </c>
      <c r="D76" s="40"/>
      <c r="E76" s="78" t="str">
        <f t="shared" ref="E76" si="207">IF(AND(NOT(ISBLANK(S77)),ISBLANK(U74)),NETWORKDAYS(S77,$W$10),"")</f>
        <v/>
      </c>
      <c r="F76" s="131"/>
      <c r="G76" s="128"/>
      <c r="H76" s="125"/>
      <c r="I76" s="128"/>
      <c r="J76" s="64" t="s">
        <v>20</v>
      </c>
      <c r="K76" s="70"/>
      <c r="L76" s="49"/>
      <c r="M76" s="70"/>
      <c r="N76" s="49"/>
      <c r="O76" s="70"/>
      <c r="P76" s="49"/>
      <c r="Q76" s="70"/>
      <c r="R76" s="49"/>
      <c r="S76" s="70"/>
      <c r="T76" s="49"/>
      <c r="U76" s="70"/>
      <c r="V76" s="49"/>
      <c r="W76" s="123"/>
      <c r="X76" s="122"/>
      <c r="Y76" s="122"/>
      <c r="Z76" s="122"/>
      <c r="AA76" s="99" t="str">
        <f t="shared" ref="AA76" si="208">T78</f>
        <v/>
      </c>
      <c r="AD76" s="13"/>
      <c r="AF76" s="12"/>
      <c r="AJ76" s="13"/>
      <c r="AL76" s="12"/>
    </row>
    <row r="77" spans="1:38" s="11" customFormat="1" ht="15" customHeight="1" thickBot="1" x14ac:dyDescent="0.35">
      <c r="A77" s="41" t="str">
        <f t="shared" si="16"/>
        <v/>
      </c>
      <c r="B77" s="42" t="str">
        <f t="shared" si="17"/>
        <v/>
      </c>
      <c r="C77" s="43">
        <f t="shared" ref="C77" ca="1" si="209">IF(ISBLANK(U77),NETWORKDAYS(U74,$W$10),"")</f>
        <v>31831</v>
      </c>
      <c r="D77" s="44"/>
      <c r="E77" s="79"/>
      <c r="F77" s="131"/>
      <c r="G77" s="128"/>
      <c r="H77" s="125"/>
      <c r="I77" s="128"/>
      <c r="J77" s="63" t="s">
        <v>18</v>
      </c>
      <c r="K77" s="71"/>
      <c r="L77" s="45"/>
      <c r="M77" s="71"/>
      <c r="N77" s="45"/>
      <c r="O77" s="71"/>
      <c r="P77" s="45"/>
      <c r="Q77" s="71"/>
      <c r="R77" s="45"/>
      <c r="S77" s="71"/>
      <c r="T77" s="45"/>
      <c r="U77" s="68"/>
      <c r="V77" s="45"/>
      <c r="W77" s="123"/>
      <c r="X77" s="122"/>
      <c r="Y77" s="122"/>
      <c r="Z77" s="122"/>
      <c r="AA77" s="99"/>
      <c r="AD77" s="13"/>
      <c r="AF77" s="12"/>
      <c r="AJ77" s="13"/>
      <c r="AL77" s="12"/>
    </row>
    <row r="78" spans="1:38" s="11" customFormat="1" ht="15" customHeight="1" thickBot="1" x14ac:dyDescent="0.35">
      <c r="A78" s="39"/>
      <c r="B78" s="21"/>
      <c r="C78" s="22"/>
      <c r="D78" s="40"/>
      <c r="E78" s="22"/>
      <c r="F78" s="132"/>
      <c r="G78" s="129"/>
      <c r="H78" s="126"/>
      <c r="I78" s="129"/>
      <c r="J78" s="63" t="s">
        <v>53</v>
      </c>
      <c r="K78" s="66" t="str">
        <f t="shared" ref="K78" si="210">IF(NOT(ISBLANK(M74)),NETWORKDAYS(K77,M74),"")</f>
        <v/>
      </c>
      <c r="L78" s="73" t="str">
        <f>IF(K76="APPROVED","",E72)</f>
        <v/>
      </c>
      <c r="M78" s="66" t="str">
        <f t="shared" ref="M78" si="211">IF(NOT(ISBLANK(O74)),NETWORKDAYS(M77,O74),"")</f>
        <v/>
      </c>
      <c r="N78" s="73" t="str">
        <f>IF(M76="APPROVED","",E73)</f>
        <v/>
      </c>
      <c r="O78" s="66" t="str">
        <f t="shared" ref="O78" si="212">IF(NOT(ISBLANK(Q74)),NETWORKDAYS(O77,Q74),"")</f>
        <v/>
      </c>
      <c r="P78" s="73" t="str">
        <f>IF(O76="APPROVED","",E74)</f>
        <v/>
      </c>
      <c r="Q78" s="66" t="str">
        <f t="shared" ref="Q78" si="213">IF(NOT(ISBLANK(S74)),NETWORKDAYS(Q77,$W$10),"")</f>
        <v/>
      </c>
      <c r="R78" s="73" t="str">
        <f>IF(Q76="APPROVED","",E75)</f>
        <v/>
      </c>
      <c r="S78" s="65" t="str">
        <f t="shared" ref="S78" si="214">IF(U74="","",NETWORKDAYS(S77,U74))</f>
        <v/>
      </c>
      <c r="T78" s="67" t="str">
        <f>IF(AND(NOT(ISBLANK(S77)),ISBLANK(U74)),E76,"")</f>
        <v/>
      </c>
      <c r="U78" s="76"/>
      <c r="V78" s="77" t="str">
        <f>IF(AND(NOT(ISBLANK(U77)),ISBLANK(U78)),#REF!,"")</f>
        <v/>
      </c>
      <c r="W78" s="58"/>
      <c r="X78" s="58"/>
      <c r="Y78" s="58"/>
      <c r="Z78" s="58"/>
      <c r="AA78" s="102"/>
      <c r="AD78" s="13"/>
      <c r="AF78" s="12"/>
      <c r="AJ78" s="13"/>
      <c r="AL78" s="12"/>
    </row>
    <row r="79" spans="1:38" s="11" customFormat="1" ht="15" customHeight="1" x14ac:dyDescent="0.3">
      <c r="A79" s="36" t="str">
        <f t="shared" ref="A79" si="215">_xlfn.CONCAT(G79)</f>
        <v/>
      </c>
      <c r="B79" s="37" t="str">
        <f t="shared" ref="B79" si="216">_xlfn.CONCAT(H79)</f>
        <v/>
      </c>
      <c r="C79" s="38">
        <f t="shared" ref="C79" ca="1" si="217">IF(ISBLANK(K84),NETWORKDAYS(K81,$W$10),"")</f>
        <v>31831</v>
      </c>
      <c r="D79" s="72" t="str">
        <f t="shared" ref="D79" ca="1" si="218">IFERROR(LOOKUP($W$10,K84:V84,K83:V83),"")</f>
        <v/>
      </c>
      <c r="E79" s="72" t="str">
        <f t="shared" ref="E79" si="219">IF(AND(NOT(ISBLANK(K84)),ISBLANK(M81)),NETWORKDAYS(K84,$W$10),"")</f>
        <v/>
      </c>
      <c r="F79" s="130">
        <v>10</v>
      </c>
      <c r="G79" s="127"/>
      <c r="H79" s="124"/>
      <c r="I79" s="127"/>
      <c r="J79" s="63" t="s">
        <v>16</v>
      </c>
      <c r="K79" s="55"/>
      <c r="L79" s="49"/>
      <c r="M79" s="55"/>
      <c r="N79" s="49"/>
      <c r="O79" s="55"/>
      <c r="P79" s="49"/>
      <c r="Q79" s="55"/>
      <c r="R79" s="49"/>
      <c r="S79" s="55"/>
      <c r="T79" s="49"/>
      <c r="U79" s="55"/>
      <c r="V79" s="49"/>
      <c r="W79" s="80"/>
      <c r="X79" s="80"/>
      <c r="Y79" s="80"/>
      <c r="Z79" s="80"/>
      <c r="AA79" s="103" t="str">
        <f t="shared" ref="AA79" si="220">L85</f>
        <v/>
      </c>
      <c r="AD79" s="13"/>
      <c r="AF79" s="12"/>
      <c r="AJ79" s="13"/>
      <c r="AL79" s="12"/>
    </row>
    <row r="80" spans="1:38" s="11" customFormat="1" ht="15" customHeight="1" x14ac:dyDescent="0.3">
      <c r="A80" s="39" t="str">
        <f t="shared" ref="A80" si="221">A79</f>
        <v/>
      </c>
      <c r="B80" s="21" t="str">
        <f t="shared" ref="B80" si="222">B79</f>
        <v/>
      </c>
      <c r="C80" s="22">
        <f t="shared" ref="C80" ca="1" si="223">IF(ISBLANK(M84),NETWORKDAYS(M81,$W$10),"")</f>
        <v>31831</v>
      </c>
      <c r="D80" s="40"/>
      <c r="E80" s="78" t="str">
        <f t="shared" ref="E80" si="224">IF(AND(NOT(ISBLANK(M84)),ISBLANK(O81)),NETWORKDAYS(M84,$W$10),"")</f>
        <v/>
      </c>
      <c r="F80" s="131"/>
      <c r="G80" s="128"/>
      <c r="H80" s="125"/>
      <c r="I80" s="128"/>
      <c r="J80" s="63" t="s">
        <v>17</v>
      </c>
      <c r="K80" s="55"/>
      <c r="L80" s="49"/>
      <c r="M80" s="55"/>
      <c r="N80" s="49"/>
      <c r="O80" s="55"/>
      <c r="P80" s="49"/>
      <c r="Q80" s="55"/>
      <c r="R80" s="49"/>
      <c r="S80" s="55"/>
      <c r="T80" s="49"/>
      <c r="U80" s="55"/>
      <c r="V80" s="49"/>
      <c r="W80" s="123" t="str">
        <f ca="1">IF(D79="APPROVED",1,"")</f>
        <v/>
      </c>
      <c r="X80" s="122" t="str">
        <f ca="1">IF(D79="APPROVED WITH COMMENT",1,"")</f>
        <v/>
      </c>
      <c r="Y80" s="122" t="str">
        <f ca="1">IF(D79="NOT APPROVED",1,"")</f>
        <v/>
      </c>
      <c r="Z80" s="122" t="str">
        <f ca="1">IF(D79="INFORMATION",1,"")</f>
        <v/>
      </c>
      <c r="AA80" s="99" t="str">
        <f t="shared" ref="AA80" si="225">N85</f>
        <v/>
      </c>
      <c r="AD80" s="13"/>
      <c r="AF80" s="12"/>
      <c r="AJ80" s="13"/>
      <c r="AL80" s="12"/>
    </row>
    <row r="81" spans="1:38" s="11" customFormat="1" ht="15" customHeight="1" x14ac:dyDescent="0.3">
      <c r="A81" s="39" t="str">
        <f t="shared" si="16"/>
        <v/>
      </c>
      <c r="B81" s="21" t="str">
        <f t="shared" si="17"/>
        <v/>
      </c>
      <c r="C81" s="22">
        <f t="shared" ref="C81" ca="1" si="226">IF(ISBLANK(O84),NETWORKDAYS(O81,$W$10),"")</f>
        <v>31831</v>
      </c>
      <c r="D81" s="40"/>
      <c r="E81" s="78" t="str">
        <f t="shared" ref="E81" si="227">IF(AND(NOT(ISBLANK(O84)),ISBLANK(Q81)),NETWORKDAYS(O84,$W$10),"")</f>
        <v/>
      </c>
      <c r="F81" s="131"/>
      <c r="G81" s="128"/>
      <c r="H81" s="125"/>
      <c r="I81" s="128"/>
      <c r="J81" s="63" t="s">
        <v>18</v>
      </c>
      <c r="K81" s="53"/>
      <c r="L81" s="45" t="str">
        <f>IF(AND(K81="",K84=""),"",C79)</f>
        <v/>
      </c>
      <c r="M81" s="53"/>
      <c r="N81" s="45" t="str">
        <f>IF(AND(M81="",M84=""),"",C80)</f>
        <v/>
      </c>
      <c r="O81" s="53"/>
      <c r="P81" s="45" t="str">
        <f>IF(AND(O81="",O84=""),"",C81)</f>
        <v/>
      </c>
      <c r="Q81" s="53"/>
      <c r="R81" s="45" t="str">
        <f>IF(AND(Q81="",Q84=""),"",C82)</f>
        <v/>
      </c>
      <c r="S81" s="53"/>
      <c r="T81" s="45" t="str">
        <f>IF(AND(S81="",S84=""),"",C83)</f>
        <v/>
      </c>
      <c r="U81" s="53"/>
      <c r="V81" s="45" t="str">
        <f>IF(AND(U81="",U84=""),"",C84)</f>
        <v/>
      </c>
      <c r="W81" s="123"/>
      <c r="X81" s="122"/>
      <c r="Y81" s="122"/>
      <c r="Z81" s="122"/>
      <c r="AA81" s="99" t="str">
        <f t="shared" ref="AA81" si="228">P85</f>
        <v/>
      </c>
      <c r="AD81" s="13"/>
      <c r="AF81" s="12"/>
      <c r="AJ81" s="13"/>
      <c r="AL81" s="12"/>
    </row>
    <row r="82" spans="1:38" s="11" customFormat="1" ht="15" customHeight="1" x14ac:dyDescent="0.3">
      <c r="A82" s="39" t="str">
        <f t="shared" si="16"/>
        <v/>
      </c>
      <c r="B82" s="21" t="str">
        <f t="shared" si="17"/>
        <v/>
      </c>
      <c r="C82" s="22">
        <f t="shared" ref="C82" ca="1" si="229">IF(ISBLANK(Q84),NETWORKDAYS(Q81,$W$10),"")</f>
        <v>31831</v>
      </c>
      <c r="D82" s="40"/>
      <c r="E82" s="78" t="str">
        <f t="shared" ref="E82" si="230">IF(AND(NOT(ISBLANK(Q84)),ISBLANK(S81)),NETWORKDAYS(Q84,$W$10),"")</f>
        <v/>
      </c>
      <c r="F82" s="131"/>
      <c r="G82" s="128"/>
      <c r="H82" s="125"/>
      <c r="I82" s="128"/>
      <c r="J82" s="63" t="s">
        <v>19</v>
      </c>
      <c r="K82" s="70"/>
      <c r="L82" s="49"/>
      <c r="M82" s="70"/>
      <c r="N82" s="49"/>
      <c r="O82" s="70"/>
      <c r="P82" s="49"/>
      <c r="Q82" s="70"/>
      <c r="R82" s="49"/>
      <c r="S82" s="70"/>
      <c r="T82" s="49"/>
      <c r="U82" s="70"/>
      <c r="V82" s="49"/>
      <c r="W82" s="123"/>
      <c r="X82" s="122"/>
      <c r="Y82" s="122"/>
      <c r="Z82" s="122"/>
      <c r="AA82" s="99" t="str">
        <f t="shared" ref="AA82" si="231">R85</f>
        <v/>
      </c>
      <c r="AD82" s="13"/>
      <c r="AF82" s="12"/>
      <c r="AJ82" s="13"/>
      <c r="AL82" s="12"/>
    </row>
    <row r="83" spans="1:38" s="11" customFormat="1" ht="15" customHeight="1" x14ac:dyDescent="0.3">
      <c r="A83" s="39" t="str">
        <f t="shared" si="16"/>
        <v/>
      </c>
      <c r="B83" s="21" t="str">
        <f t="shared" si="17"/>
        <v/>
      </c>
      <c r="C83" s="22">
        <f t="shared" ref="C83" ca="1" si="232">IF(ISBLANK(S84),NETWORKDAYS(S81,$W$10),"")</f>
        <v>31831</v>
      </c>
      <c r="D83" s="40"/>
      <c r="E83" s="78" t="str">
        <f t="shared" ref="E83" si="233">IF(AND(NOT(ISBLANK(S84)),ISBLANK(U81)),NETWORKDAYS(S84,$W$10),"")</f>
        <v/>
      </c>
      <c r="F83" s="131"/>
      <c r="G83" s="128"/>
      <c r="H83" s="125"/>
      <c r="I83" s="128"/>
      <c r="J83" s="64" t="s">
        <v>20</v>
      </c>
      <c r="K83" s="70"/>
      <c r="L83" s="49"/>
      <c r="M83" s="70"/>
      <c r="N83" s="49"/>
      <c r="O83" s="70"/>
      <c r="P83" s="49"/>
      <c r="Q83" s="70"/>
      <c r="R83" s="49"/>
      <c r="S83" s="70"/>
      <c r="T83" s="49"/>
      <c r="U83" s="70"/>
      <c r="V83" s="49"/>
      <c r="W83" s="123"/>
      <c r="X83" s="122"/>
      <c r="Y83" s="122"/>
      <c r="Z83" s="122"/>
      <c r="AA83" s="99" t="str">
        <f t="shared" ref="AA83" si="234">T85</f>
        <v/>
      </c>
      <c r="AD83" s="13"/>
      <c r="AF83" s="12"/>
      <c r="AJ83" s="13"/>
      <c r="AL83" s="12"/>
    </row>
    <row r="84" spans="1:38" s="11" customFormat="1" ht="15" customHeight="1" thickBot="1" x14ac:dyDescent="0.35">
      <c r="A84" s="41" t="str">
        <f t="shared" si="16"/>
        <v/>
      </c>
      <c r="B84" s="42" t="str">
        <f t="shared" si="17"/>
        <v/>
      </c>
      <c r="C84" s="43">
        <f t="shared" ref="C84" ca="1" si="235">IF(ISBLANK(U84),NETWORKDAYS(U81,$W$10),"")</f>
        <v>31831</v>
      </c>
      <c r="D84" s="44"/>
      <c r="E84" s="79"/>
      <c r="F84" s="131"/>
      <c r="G84" s="128"/>
      <c r="H84" s="125"/>
      <c r="I84" s="128"/>
      <c r="J84" s="63" t="s">
        <v>18</v>
      </c>
      <c r="K84" s="71"/>
      <c r="L84" s="45"/>
      <c r="M84" s="71"/>
      <c r="N84" s="45"/>
      <c r="O84" s="71"/>
      <c r="P84" s="45"/>
      <c r="Q84" s="71"/>
      <c r="R84" s="45"/>
      <c r="S84" s="71"/>
      <c r="T84" s="45"/>
      <c r="U84" s="68"/>
      <c r="V84" s="45"/>
      <c r="W84" s="123"/>
      <c r="X84" s="122"/>
      <c r="Y84" s="122"/>
      <c r="Z84" s="122"/>
      <c r="AA84" s="99"/>
      <c r="AD84" s="13"/>
      <c r="AF84" s="12"/>
      <c r="AJ84" s="13"/>
      <c r="AL84" s="12"/>
    </row>
    <row r="85" spans="1:38" s="11" customFormat="1" ht="15" customHeight="1" thickBot="1" x14ac:dyDescent="0.35">
      <c r="A85" s="39"/>
      <c r="B85" s="21"/>
      <c r="C85" s="22"/>
      <c r="D85" s="40"/>
      <c r="E85" s="22"/>
      <c r="F85" s="132"/>
      <c r="G85" s="129"/>
      <c r="H85" s="126"/>
      <c r="I85" s="129"/>
      <c r="J85" s="63" t="s">
        <v>53</v>
      </c>
      <c r="K85" s="66" t="str">
        <f t="shared" ref="K85" si="236">IF(NOT(ISBLANK(M81)),NETWORKDAYS(K84,M81),"")</f>
        <v/>
      </c>
      <c r="L85" s="73" t="str">
        <f>IF(K83="APPROVED","",E79)</f>
        <v/>
      </c>
      <c r="M85" s="66" t="str">
        <f t="shared" ref="M85" si="237">IF(NOT(ISBLANK(O81)),NETWORKDAYS(M84,O81),"")</f>
        <v/>
      </c>
      <c r="N85" s="73" t="str">
        <f>IF(M83="APPROVED","",E80)</f>
        <v/>
      </c>
      <c r="O85" s="66" t="str">
        <f t="shared" ref="O85" si="238">IF(NOT(ISBLANK(Q81)),NETWORKDAYS(O84,Q81),"")</f>
        <v/>
      </c>
      <c r="P85" s="73" t="str">
        <f>IF(O83="APPROVED","",E81)</f>
        <v/>
      </c>
      <c r="Q85" s="66" t="str">
        <f t="shared" ref="Q85" si="239">IF(NOT(ISBLANK(S81)),NETWORKDAYS(Q84,$W$10),"")</f>
        <v/>
      </c>
      <c r="R85" s="73" t="str">
        <f>IF(Q83="APPROVED","",E82)</f>
        <v/>
      </c>
      <c r="S85" s="65" t="str">
        <f t="shared" ref="S85" si="240">IF(U81="","",NETWORKDAYS(S84,U81))</f>
        <v/>
      </c>
      <c r="T85" s="67" t="str">
        <f>IF(AND(NOT(ISBLANK(S84)),ISBLANK(U81)),E83,"")</f>
        <v/>
      </c>
      <c r="U85" s="76"/>
      <c r="V85" s="77" t="str">
        <f>IF(AND(NOT(ISBLANK(U84)),ISBLANK(U85)),#REF!,"")</f>
        <v/>
      </c>
      <c r="W85" s="58"/>
      <c r="X85" s="58"/>
      <c r="Y85" s="58"/>
      <c r="Z85" s="58"/>
      <c r="AA85" s="102"/>
      <c r="AD85" s="13"/>
      <c r="AF85" s="12"/>
      <c r="AJ85" s="13"/>
      <c r="AL85" s="12"/>
    </row>
    <row r="86" spans="1:38" s="11" customFormat="1" ht="15" customHeight="1" x14ac:dyDescent="0.3">
      <c r="A86" s="36" t="str">
        <f t="shared" ref="A86" si="241">_xlfn.CONCAT(G86)</f>
        <v/>
      </c>
      <c r="B86" s="37" t="str">
        <f t="shared" ref="B86" si="242">_xlfn.CONCAT(H86)</f>
        <v/>
      </c>
      <c r="C86" s="38">
        <f t="shared" ref="C86" ca="1" si="243">IF(ISBLANK(K91),NETWORKDAYS(K88,$W$10),"")</f>
        <v>31831</v>
      </c>
      <c r="D86" s="72" t="str">
        <f t="shared" ref="D86" ca="1" si="244">IFERROR(LOOKUP($W$10,K91:V91,K90:V90),"")</f>
        <v/>
      </c>
      <c r="E86" s="72" t="str">
        <f t="shared" ref="E86" si="245">IF(AND(NOT(ISBLANK(K91)),ISBLANK(M88)),NETWORKDAYS(K91,$W$10),"")</f>
        <v/>
      </c>
      <c r="F86" s="130">
        <v>11</v>
      </c>
      <c r="G86" s="127"/>
      <c r="H86" s="124"/>
      <c r="I86" s="127"/>
      <c r="J86" s="63" t="s">
        <v>16</v>
      </c>
      <c r="K86" s="55"/>
      <c r="L86" s="49"/>
      <c r="M86" s="55"/>
      <c r="N86" s="49"/>
      <c r="O86" s="55"/>
      <c r="P86" s="49"/>
      <c r="Q86" s="55"/>
      <c r="R86" s="49"/>
      <c r="S86" s="55"/>
      <c r="T86" s="49"/>
      <c r="U86" s="55"/>
      <c r="V86" s="49"/>
      <c r="W86" s="80"/>
      <c r="X86" s="80"/>
      <c r="Y86" s="80"/>
      <c r="Z86" s="80"/>
      <c r="AA86" s="103" t="str">
        <f t="shared" ref="AA86" si="246">L92</f>
        <v/>
      </c>
      <c r="AD86" s="13"/>
      <c r="AF86" s="12"/>
      <c r="AJ86" s="13"/>
      <c r="AL86" s="12"/>
    </row>
    <row r="87" spans="1:38" s="11" customFormat="1" ht="15" customHeight="1" x14ac:dyDescent="0.3">
      <c r="A87" s="39" t="str">
        <f t="shared" ref="A87:A98" si="247">A86</f>
        <v/>
      </c>
      <c r="B87" s="21" t="str">
        <f t="shared" ref="B87:B98" si="248">B86</f>
        <v/>
      </c>
      <c r="C87" s="22">
        <f t="shared" ref="C87" ca="1" si="249">IF(ISBLANK(M91),NETWORKDAYS(M88,$W$10),"")</f>
        <v>31831</v>
      </c>
      <c r="D87" s="40"/>
      <c r="E87" s="78" t="str">
        <f t="shared" ref="E87" si="250">IF(AND(NOT(ISBLANK(M91)),ISBLANK(O88)),NETWORKDAYS(M91,$W$10),"")</f>
        <v/>
      </c>
      <c r="F87" s="131"/>
      <c r="G87" s="128"/>
      <c r="H87" s="125"/>
      <c r="I87" s="128"/>
      <c r="J87" s="63" t="s">
        <v>17</v>
      </c>
      <c r="K87" s="55"/>
      <c r="L87" s="49"/>
      <c r="M87" s="55"/>
      <c r="N87" s="49"/>
      <c r="O87" s="55"/>
      <c r="P87" s="49"/>
      <c r="Q87" s="55"/>
      <c r="R87" s="49"/>
      <c r="S87" s="55"/>
      <c r="T87" s="49"/>
      <c r="U87" s="55"/>
      <c r="V87" s="49"/>
      <c r="W87" s="123" t="str">
        <f ca="1">IF(D86="APPROVED",1,"")</f>
        <v/>
      </c>
      <c r="X87" s="122" t="str">
        <f ca="1">IF(D86="APPROVED WITH COMMENT",1,"")</f>
        <v/>
      </c>
      <c r="Y87" s="122" t="str">
        <f ca="1">IF(D86="NOT APPROVED",1,"")</f>
        <v/>
      </c>
      <c r="Z87" s="122" t="str">
        <f ca="1">IF(D86="INFORMATION",1,"")</f>
        <v/>
      </c>
      <c r="AA87" s="99" t="str">
        <f t="shared" ref="AA87" si="251">N92</f>
        <v/>
      </c>
      <c r="AD87" s="13"/>
      <c r="AF87" s="12"/>
      <c r="AJ87" s="13"/>
      <c r="AL87" s="12"/>
    </row>
    <row r="88" spans="1:38" s="11" customFormat="1" ht="15" customHeight="1" x14ac:dyDescent="0.3">
      <c r="A88" s="39" t="str">
        <f t="shared" si="247"/>
        <v/>
      </c>
      <c r="B88" s="21" t="str">
        <f t="shared" si="248"/>
        <v/>
      </c>
      <c r="C88" s="22">
        <f t="shared" ref="C88" ca="1" si="252">IF(ISBLANK(O91),NETWORKDAYS(O88,$W$10),"")</f>
        <v>31831</v>
      </c>
      <c r="D88" s="40"/>
      <c r="E88" s="78" t="str">
        <f t="shared" ref="E88" si="253">IF(AND(NOT(ISBLANK(O91)),ISBLANK(Q88)),NETWORKDAYS(O91,$W$10),"")</f>
        <v/>
      </c>
      <c r="F88" s="131"/>
      <c r="G88" s="128"/>
      <c r="H88" s="125"/>
      <c r="I88" s="128"/>
      <c r="J88" s="63" t="s">
        <v>18</v>
      </c>
      <c r="K88" s="53"/>
      <c r="L88" s="45" t="str">
        <f>IF(AND(K88="",K91=""),"",C86)</f>
        <v/>
      </c>
      <c r="M88" s="53"/>
      <c r="N88" s="45" t="str">
        <f>IF(AND(M88="",M91=""),"",C87)</f>
        <v/>
      </c>
      <c r="O88" s="53"/>
      <c r="P88" s="45" t="str">
        <f>IF(AND(O88="",O91=""),"",C88)</f>
        <v/>
      </c>
      <c r="Q88" s="53"/>
      <c r="R88" s="45" t="str">
        <f>IF(AND(Q88="",Q91=""),"",C89)</f>
        <v/>
      </c>
      <c r="S88" s="53"/>
      <c r="T88" s="45" t="str">
        <f>IF(AND(S88="",S91=""),"",C90)</f>
        <v/>
      </c>
      <c r="U88" s="53"/>
      <c r="V88" s="45" t="str">
        <f>IF(AND(U88="",U91=""),"",C91)</f>
        <v/>
      </c>
      <c r="W88" s="123"/>
      <c r="X88" s="122"/>
      <c r="Y88" s="122"/>
      <c r="Z88" s="122"/>
      <c r="AA88" s="99" t="str">
        <f t="shared" ref="AA88" si="254">P92</f>
        <v/>
      </c>
      <c r="AD88" s="13"/>
      <c r="AF88" s="12"/>
      <c r="AJ88" s="13"/>
      <c r="AL88" s="12"/>
    </row>
    <row r="89" spans="1:38" s="11" customFormat="1" ht="15" customHeight="1" x14ac:dyDescent="0.3">
      <c r="A89" s="39" t="str">
        <f t="shared" si="247"/>
        <v/>
      </c>
      <c r="B89" s="21" t="str">
        <f t="shared" si="248"/>
        <v/>
      </c>
      <c r="C89" s="22">
        <f t="shared" ref="C89" ca="1" si="255">IF(ISBLANK(Q91),NETWORKDAYS(Q88,$W$10),"")</f>
        <v>31831</v>
      </c>
      <c r="D89" s="40"/>
      <c r="E89" s="78" t="str">
        <f t="shared" ref="E89" si="256">IF(AND(NOT(ISBLANK(Q91)),ISBLANK(S88)),NETWORKDAYS(Q91,$W$10),"")</f>
        <v/>
      </c>
      <c r="F89" s="131"/>
      <c r="G89" s="128"/>
      <c r="H89" s="125"/>
      <c r="I89" s="128"/>
      <c r="J89" s="63" t="s">
        <v>19</v>
      </c>
      <c r="K89" s="70"/>
      <c r="L89" s="49"/>
      <c r="M89" s="70"/>
      <c r="N89" s="49"/>
      <c r="O89" s="70"/>
      <c r="P89" s="49"/>
      <c r="Q89" s="70"/>
      <c r="R89" s="49"/>
      <c r="S89" s="70"/>
      <c r="T89" s="49"/>
      <c r="U89" s="70"/>
      <c r="V89" s="49"/>
      <c r="W89" s="123"/>
      <c r="X89" s="122"/>
      <c r="Y89" s="122"/>
      <c r="Z89" s="122"/>
      <c r="AA89" s="99" t="str">
        <f t="shared" ref="AA89" si="257">R92</f>
        <v/>
      </c>
      <c r="AD89" s="13"/>
      <c r="AF89" s="12"/>
      <c r="AJ89" s="13"/>
      <c r="AL89" s="12"/>
    </row>
    <row r="90" spans="1:38" s="11" customFormat="1" ht="15" customHeight="1" x14ac:dyDescent="0.3">
      <c r="A90" s="39" t="str">
        <f t="shared" si="247"/>
        <v/>
      </c>
      <c r="B90" s="21" t="str">
        <f t="shared" si="248"/>
        <v/>
      </c>
      <c r="C90" s="22">
        <f t="shared" ref="C90" ca="1" si="258">IF(ISBLANK(S91),NETWORKDAYS(S88,$W$10),"")</f>
        <v>31831</v>
      </c>
      <c r="D90" s="40"/>
      <c r="E90" s="78" t="str">
        <f t="shared" ref="E90" si="259">IF(AND(NOT(ISBLANK(S91)),ISBLANK(U88)),NETWORKDAYS(S91,$W$10),"")</f>
        <v/>
      </c>
      <c r="F90" s="131"/>
      <c r="G90" s="128"/>
      <c r="H90" s="125"/>
      <c r="I90" s="128"/>
      <c r="J90" s="64" t="s">
        <v>20</v>
      </c>
      <c r="K90" s="70"/>
      <c r="L90" s="49"/>
      <c r="M90" s="70"/>
      <c r="N90" s="49"/>
      <c r="O90" s="70"/>
      <c r="P90" s="49"/>
      <c r="Q90" s="70"/>
      <c r="R90" s="49"/>
      <c r="S90" s="70"/>
      <c r="T90" s="49"/>
      <c r="U90" s="70"/>
      <c r="V90" s="49"/>
      <c r="W90" s="123"/>
      <c r="X90" s="122"/>
      <c r="Y90" s="122"/>
      <c r="Z90" s="122"/>
      <c r="AA90" s="99" t="str">
        <f t="shared" ref="AA90" si="260">T92</f>
        <v/>
      </c>
      <c r="AD90" s="13"/>
      <c r="AF90" s="12"/>
      <c r="AJ90" s="13"/>
      <c r="AL90" s="12"/>
    </row>
    <row r="91" spans="1:38" s="11" customFormat="1" ht="15" customHeight="1" thickBot="1" x14ac:dyDescent="0.35">
      <c r="A91" s="41" t="str">
        <f t="shared" si="247"/>
        <v/>
      </c>
      <c r="B91" s="42" t="str">
        <f t="shared" si="248"/>
        <v/>
      </c>
      <c r="C91" s="43">
        <f t="shared" ref="C91" ca="1" si="261">IF(ISBLANK(U91),NETWORKDAYS(U88,$W$10),"")</f>
        <v>31831</v>
      </c>
      <c r="D91" s="44"/>
      <c r="E91" s="79"/>
      <c r="F91" s="131"/>
      <c r="G91" s="128"/>
      <c r="H91" s="125"/>
      <c r="I91" s="128"/>
      <c r="J91" s="63" t="s">
        <v>18</v>
      </c>
      <c r="K91" s="71"/>
      <c r="L91" s="45"/>
      <c r="M91" s="71"/>
      <c r="N91" s="45"/>
      <c r="O91" s="71"/>
      <c r="P91" s="45"/>
      <c r="Q91" s="71"/>
      <c r="R91" s="45"/>
      <c r="S91" s="71"/>
      <c r="T91" s="45"/>
      <c r="U91" s="68"/>
      <c r="V91" s="45"/>
      <c r="W91" s="123"/>
      <c r="X91" s="122"/>
      <c r="Y91" s="122"/>
      <c r="Z91" s="122"/>
      <c r="AA91" s="99"/>
      <c r="AD91" s="13"/>
      <c r="AF91" s="12"/>
      <c r="AJ91" s="13"/>
      <c r="AL91" s="12"/>
    </row>
    <row r="92" spans="1:38" s="11" customFormat="1" ht="15" customHeight="1" thickBot="1" x14ac:dyDescent="0.35">
      <c r="A92" s="39"/>
      <c r="B92" s="21"/>
      <c r="C92" s="22"/>
      <c r="D92" s="40"/>
      <c r="E92" s="22"/>
      <c r="F92" s="132"/>
      <c r="G92" s="129"/>
      <c r="H92" s="126"/>
      <c r="I92" s="129"/>
      <c r="J92" s="63" t="s">
        <v>53</v>
      </c>
      <c r="K92" s="66" t="str">
        <f t="shared" ref="K92" si="262">IF(NOT(ISBLANK(M88)),NETWORKDAYS(K91,M88),"")</f>
        <v/>
      </c>
      <c r="L92" s="73" t="str">
        <f>IF(K90="APPROVED","",E86)</f>
        <v/>
      </c>
      <c r="M92" s="66" t="str">
        <f t="shared" ref="M92" si="263">IF(NOT(ISBLANK(O88)),NETWORKDAYS(M91,O88),"")</f>
        <v/>
      </c>
      <c r="N92" s="73" t="str">
        <f>IF(M90="APPROVED","",E87)</f>
        <v/>
      </c>
      <c r="O92" s="66" t="str">
        <f t="shared" ref="O92" si="264">IF(NOT(ISBLANK(Q88)),NETWORKDAYS(O91,Q88),"")</f>
        <v/>
      </c>
      <c r="P92" s="73" t="str">
        <f>IF(O90="APPROVED","",E88)</f>
        <v/>
      </c>
      <c r="Q92" s="66" t="str">
        <f t="shared" ref="Q92" si="265">IF(NOT(ISBLANK(S88)),NETWORKDAYS(Q91,$W$10),"")</f>
        <v/>
      </c>
      <c r="R92" s="73" t="str">
        <f>IF(Q90="APPROVED","",E89)</f>
        <v/>
      </c>
      <c r="S92" s="65" t="str">
        <f t="shared" ref="S92" si="266">IF(U88="","",NETWORKDAYS(S91,U88))</f>
        <v/>
      </c>
      <c r="T92" s="67" t="str">
        <f>IF(AND(NOT(ISBLANK(S91)),ISBLANK(U88)),E90,"")</f>
        <v/>
      </c>
      <c r="U92" s="76"/>
      <c r="V92" s="77" t="str">
        <f>IF(AND(NOT(ISBLANK(U91)),ISBLANK(U92)),#REF!,"")</f>
        <v/>
      </c>
      <c r="W92" s="58"/>
      <c r="X92" s="58"/>
      <c r="Y92" s="58"/>
      <c r="Z92" s="58"/>
      <c r="AA92" s="102"/>
      <c r="AD92" s="13"/>
      <c r="AF92" s="12"/>
      <c r="AJ92" s="13"/>
      <c r="AL92" s="12"/>
    </row>
    <row r="93" spans="1:38" s="11" customFormat="1" ht="15" customHeight="1" x14ac:dyDescent="0.3">
      <c r="A93" s="36" t="str">
        <f t="shared" ref="A93" si="267">_xlfn.CONCAT(G93)</f>
        <v/>
      </c>
      <c r="B93" s="37" t="str">
        <f t="shared" ref="B93" si="268">_xlfn.CONCAT(H93)</f>
        <v/>
      </c>
      <c r="C93" s="38">
        <f t="shared" ref="C93" ca="1" si="269">IF(ISBLANK(K98),NETWORKDAYS(K95,$W$10),"")</f>
        <v>31831</v>
      </c>
      <c r="D93" s="72" t="str">
        <f t="shared" ref="D93" ca="1" si="270">IFERROR(LOOKUP($W$10,K98:V98,K97:V97),"")</f>
        <v/>
      </c>
      <c r="E93" s="72" t="str">
        <f t="shared" ref="E93" si="271">IF(AND(NOT(ISBLANK(K98)),ISBLANK(M95)),NETWORKDAYS(K98,$W$10),"")</f>
        <v/>
      </c>
      <c r="F93" s="130">
        <v>12</v>
      </c>
      <c r="G93" s="127"/>
      <c r="H93" s="124"/>
      <c r="I93" s="127"/>
      <c r="J93" s="63" t="s">
        <v>16</v>
      </c>
      <c r="K93" s="55"/>
      <c r="L93" s="49"/>
      <c r="M93" s="55"/>
      <c r="N93" s="49"/>
      <c r="O93" s="55"/>
      <c r="P93" s="49"/>
      <c r="Q93" s="55"/>
      <c r="R93" s="49"/>
      <c r="S93" s="55"/>
      <c r="T93" s="49"/>
      <c r="U93" s="55"/>
      <c r="V93" s="49"/>
      <c r="W93" s="80"/>
      <c r="X93" s="80"/>
      <c r="Y93" s="80"/>
      <c r="Z93" s="80"/>
      <c r="AA93" s="103" t="str">
        <f t="shared" ref="AA93" si="272">L99</f>
        <v/>
      </c>
      <c r="AD93" s="13"/>
      <c r="AF93" s="12"/>
      <c r="AJ93" s="13"/>
      <c r="AL93" s="12"/>
    </row>
    <row r="94" spans="1:38" s="11" customFormat="1" ht="15" customHeight="1" x14ac:dyDescent="0.3">
      <c r="A94" s="39" t="str">
        <f t="shared" ref="A94" si="273">A93</f>
        <v/>
      </c>
      <c r="B94" s="21" t="str">
        <f t="shared" ref="B94" si="274">B93</f>
        <v/>
      </c>
      <c r="C94" s="22">
        <f t="shared" ref="C94" ca="1" si="275">IF(ISBLANK(M98),NETWORKDAYS(M95,$W$10),"")</f>
        <v>31831</v>
      </c>
      <c r="D94" s="40"/>
      <c r="E94" s="78" t="str">
        <f t="shared" ref="E94" si="276">IF(AND(NOT(ISBLANK(M98)),ISBLANK(O95)),NETWORKDAYS(M98,$W$10),"")</f>
        <v/>
      </c>
      <c r="F94" s="131"/>
      <c r="G94" s="128"/>
      <c r="H94" s="125"/>
      <c r="I94" s="128"/>
      <c r="J94" s="63" t="s">
        <v>17</v>
      </c>
      <c r="K94" s="55"/>
      <c r="L94" s="49"/>
      <c r="M94" s="55"/>
      <c r="N94" s="49"/>
      <c r="O94" s="55"/>
      <c r="P94" s="49"/>
      <c r="Q94" s="55"/>
      <c r="R94" s="49"/>
      <c r="S94" s="55"/>
      <c r="T94" s="49"/>
      <c r="U94" s="55"/>
      <c r="V94" s="49"/>
      <c r="W94" s="123" t="str">
        <f ca="1">IF(D93="APPROVED",1,"")</f>
        <v/>
      </c>
      <c r="X94" s="122" t="str">
        <f ca="1">IF(D93="APPROVED WITH COMMENT",1,"")</f>
        <v/>
      </c>
      <c r="Y94" s="122" t="str">
        <f ca="1">IF(D93="NOT APPROVED",1,"")</f>
        <v/>
      </c>
      <c r="Z94" s="122" t="str">
        <f ca="1">IF(D93="INFORMATION",1,"")</f>
        <v/>
      </c>
      <c r="AA94" s="99" t="str">
        <f t="shared" ref="AA94" si="277">N99</f>
        <v/>
      </c>
      <c r="AD94" s="13"/>
      <c r="AF94" s="12"/>
      <c r="AJ94" s="13"/>
      <c r="AL94" s="12"/>
    </row>
    <row r="95" spans="1:38" s="11" customFormat="1" ht="15" customHeight="1" x14ac:dyDescent="0.3">
      <c r="A95" s="39" t="str">
        <f t="shared" si="247"/>
        <v/>
      </c>
      <c r="B95" s="21" t="str">
        <f t="shared" si="248"/>
        <v/>
      </c>
      <c r="C95" s="22">
        <f t="shared" ref="C95" ca="1" si="278">IF(ISBLANK(O98),NETWORKDAYS(O95,$W$10),"")</f>
        <v>31831</v>
      </c>
      <c r="D95" s="40"/>
      <c r="E95" s="78" t="str">
        <f t="shared" ref="E95" si="279">IF(AND(NOT(ISBLANK(O98)),ISBLANK(Q95)),NETWORKDAYS(O98,$W$10),"")</f>
        <v/>
      </c>
      <c r="F95" s="131"/>
      <c r="G95" s="128"/>
      <c r="H95" s="125"/>
      <c r="I95" s="128"/>
      <c r="J95" s="63" t="s">
        <v>18</v>
      </c>
      <c r="K95" s="53"/>
      <c r="L95" s="45" t="str">
        <f>IF(AND(K95="",K98=""),"",C93)</f>
        <v/>
      </c>
      <c r="M95" s="53"/>
      <c r="N95" s="45" t="str">
        <f>IF(AND(M95="",M98=""),"",C94)</f>
        <v/>
      </c>
      <c r="O95" s="53"/>
      <c r="P95" s="45" t="str">
        <f>IF(AND(O95="",O98=""),"",C95)</f>
        <v/>
      </c>
      <c r="Q95" s="53"/>
      <c r="R95" s="45" t="str">
        <f>IF(AND(Q95="",Q98=""),"",C96)</f>
        <v/>
      </c>
      <c r="S95" s="53"/>
      <c r="T95" s="45" t="str">
        <f>IF(AND(S95="",S98=""),"",C97)</f>
        <v/>
      </c>
      <c r="U95" s="53"/>
      <c r="V95" s="45" t="str">
        <f>IF(AND(U95="",U98=""),"",C98)</f>
        <v/>
      </c>
      <c r="W95" s="123"/>
      <c r="X95" s="122"/>
      <c r="Y95" s="122"/>
      <c r="Z95" s="122"/>
      <c r="AA95" s="99" t="str">
        <f t="shared" ref="AA95" si="280">P99</f>
        <v/>
      </c>
      <c r="AD95" s="13"/>
      <c r="AF95" s="12"/>
      <c r="AJ95" s="13"/>
      <c r="AL95" s="12"/>
    </row>
    <row r="96" spans="1:38" s="11" customFormat="1" ht="15" customHeight="1" x14ac:dyDescent="0.3">
      <c r="A96" s="39" t="str">
        <f t="shared" si="247"/>
        <v/>
      </c>
      <c r="B96" s="21" t="str">
        <f t="shared" si="248"/>
        <v/>
      </c>
      <c r="C96" s="22">
        <f t="shared" ref="C96" ca="1" si="281">IF(ISBLANK(Q98),NETWORKDAYS(Q95,$W$10),"")</f>
        <v>31831</v>
      </c>
      <c r="D96" s="40"/>
      <c r="E96" s="78" t="str">
        <f t="shared" ref="E96" si="282">IF(AND(NOT(ISBLANK(Q98)),ISBLANK(S95)),NETWORKDAYS(Q98,$W$10),"")</f>
        <v/>
      </c>
      <c r="F96" s="131"/>
      <c r="G96" s="128"/>
      <c r="H96" s="125"/>
      <c r="I96" s="128"/>
      <c r="J96" s="63" t="s">
        <v>19</v>
      </c>
      <c r="K96" s="70"/>
      <c r="L96" s="49"/>
      <c r="M96" s="70"/>
      <c r="N96" s="49"/>
      <c r="O96" s="70"/>
      <c r="P96" s="49"/>
      <c r="Q96" s="70"/>
      <c r="R96" s="49"/>
      <c r="S96" s="70"/>
      <c r="T96" s="49"/>
      <c r="U96" s="70"/>
      <c r="V96" s="49"/>
      <c r="W96" s="123"/>
      <c r="X96" s="122"/>
      <c r="Y96" s="122"/>
      <c r="Z96" s="122"/>
      <c r="AA96" s="99" t="str">
        <f t="shared" ref="AA96" si="283">R99</f>
        <v/>
      </c>
      <c r="AD96" s="13"/>
      <c r="AF96" s="12"/>
      <c r="AJ96" s="13"/>
      <c r="AL96" s="12"/>
    </row>
    <row r="97" spans="1:38" s="11" customFormat="1" ht="15" customHeight="1" x14ac:dyDescent="0.3">
      <c r="A97" s="39" t="str">
        <f t="shared" si="247"/>
        <v/>
      </c>
      <c r="B97" s="21" t="str">
        <f t="shared" si="248"/>
        <v/>
      </c>
      <c r="C97" s="22">
        <f t="shared" ref="C97" ca="1" si="284">IF(ISBLANK(S98),NETWORKDAYS(S95,$W$10),"")</f>
        <v>31831</v>
      </c>
      <c r="D97" s="40"/>
      <c r="E97" s="78" t="str">
        <f t="shared" ref="E97" si="285">IF(AND(NOT(ISBLANK(S98)),ISBLANK(U95)),NETWORKDAYS(S98,$W$10),"")</f>
        <v/>
      </c>
      <c r="F97" s="131"/>
      <c r="G97" s="128"/>
      <c r="H97" s="125"/>
      <c r="I97" s="128"/>
      <c r="J97" s="64" t="s">
        <v>20</v>
      </c>
      <c r="K97" s="70"/>
      <c r="L97" s="49"/>
      <c r="M97" s="70"/>
      <c r="N97" s="49"/>
      <c r="O97" s="70"/>
      <c r="P97" s="49"/>
      <c r="Q97" s="70"/>
      <c r="R97" s="49"/>
      <c r="S97" s="70"/>
      <c r="T97" s="49"/>
      <c r="U97" s="70"/>
      <c r="V97" s="49"/>
      <c r="W97" s="123"/>
      <c r="X97" s="122"/>
      <c r="Y97" s="122"/>
      <c r="Z97" s="122"/>
      <c r="AA97" s="99" t="str">
        <f t="shared" ref="AA97" si="286">T99</f>
        <v/>
      </c>
      <c r="AD97" s="13"/>
      <c r="AF97" s="12"/>
      <c r="AJ97" s="13"/>
      <c r="AL97" s="12"/>
    </row>
    <row r="98" spans="1:38" s="11" customFormat="1" ht="15" customHeight="1" thickBot="1" x14ac:dyDescent="0.35">
      <c r="A98" s="41" t="str">
        <f t="shared" si="247"/>
        <v/>
      </c>
      <c r="B98" s="42" t="str">
        <f t="shared" si="248"/>
        <v/>
      </c>
      <c r="C98" s="43">
        <f t="shared" ref="C98" ca="1" si="287">IF(ISBLANK(U98),NETWORKDAYS(U95,$W$10),"")</f>
        <v>31831</v>
      </c>
      <c r="D98" s="44"/>
      <c r="E98" s="79"/>
      <c r="F98" s="131"/>
      <c r="G98" s="128"/>
      <c r="H98" s="125"/>
      <c r="I98" s="128"/>
      <c r="J98" s="63" t="s">
        <v>18</v>
      </c>
      <c r="K98" s="71"/>
      <c r="L98" s="45"/>
      <c r="M98" s="71"/>
      <c r="N98" s="45"/>
      <c r="O98" s="71"/>
      <c r="P98" s="45"/>
      <c r="Q98" s="71"/>
      <c r="R98" s="45"/>
      <c r="S98" s="71"/>
      <c r="T98" s="45"/>
      <c r="U98" s="68"/>
      <c r="V98" s="45"/>
      <c r="W98" s="123"/>
      <c r="X98" s="122"/>
      <c r="Y98" s="122"/>
      <c r="Z98" s="122"/>
      <c r="AA98" s="99"/>
      <c r="AD98" s="13"/>
      <c r="AF98" s="12"/>
      <c r="AJ98" s="13"/>
      <c r="AL98" s="12"/>
    </row>
    <row r="99" spans="1:38" s="11" customFormat="1" ht="15" customHeight="1" thickBot="1" x14ac:dyDescent="0.35">
      <c r="A99" s="39"/>
      <c r="B99" s="21"/>
      <c r="C99" s="22"/>
      <c r="D99" s="40"/>
      <c r="E99" s="22"/>
      <c r="F99" s="132"/>
      <c r="G99" s="129"/>
      <c r="H99" s="126"/>
      <c r="I99" s="129"/>
      <c r="J99" s="63" t="s">
        <v>53</v>
      </c>
      <c r="K99" s="66" t="str">
        <f t="shared" ref="K99" si="288">IF(NOT(ISBLANK(M95)),NETWORKDAYS(K98,M95),"")</f>
        <v/>
      </c>
      <c r="L99" s="73" t="str">
        <f>IF(K97="APPROVED","",E93)</f>
        <v/>
      </c>
      <c r="M99" s="66" t="str">
        <f t="shared" ref="M99" si="289">IF(NOT(ISBLANK(O95)),NETWORKDAYS(M98,O95),"")</f>
        <v/>
      </c>
      <c r="N99" s="73" t="str">
        <f>IF(M97="APPROVED","",E94)</f>
        <v/>
      </c>
      <c r="O99" s="66" t="str">
        <f t="shared" ref="O99" si="290">IF(NOT(ISBLANK(Q95)),NETWORKDAYS(O98,Q95),"")</f>
        <v/>
      </c>
      <c r="P99" s="73" t="str">
        <f>IF(O97="APPROVED","",E95)</f>
        <v/>
      </c>
      <c r="Q99" s="66" t="str">
        <f t="shared" ref="Q99" si="291">IF(NOT(ISBLANK(S95)),NETWORKDAYS(Q98,$W$10),"")</f>
        <v/>
      </c>
      <c r="R99" s="73" t="str">
        <f>IF(Q97="APPROVED","",E96)</f>
        <v/>
      </c>
      <c r="S99" s="65" t="str">
        <f t="shared" ref="S99" si="292">IF(U95="","",NETWORKDAYS(S98,U95))</f>
        <v/>
      </c>
      <c r="T99" s="67" t="str">
        <f>IF(AND(NOT(ISBLANK(S98)),ISBLANK(U95)),E97,"")</f>
        <v/>
      </c>
      <c r="U99" s="76"/>
      <c r="V99" s="77" t="str">
        <f>IF(AND(NOT(ISBLANK(U98)),ISBLANK(U99)),#REF!,"")</f>
        <v/>
      </c>
      <c r="W99" s="58"/>
      <c r="X99" s="58"/>
      <c r="Y99" s="58"/>
      <c r="Z99" s="58"/>
      <c r="AA99" s="102"/>
      <c r="AD99" s="13"/>
      <c r="AF99" s="12"/>
      <c r="AJ99" s="13"/>
      <c r="AL99" s="12"/>
    </row>
    <row r="100" spans="1:38" ht="15.75" thickBot="1" x14ac:dyDescent="0.3">
      <c r="L100" s="46">
        <f ca="1">COUNTIF(L16:L34,)</f>
        <v>0</v>
      </c>
      <c r="U100" s="163"/>
      <c r="V100" s="164"/>
      <c r="W100" s="26">
        <f ca="1">COUNT(W16:W98)</f>
        <v>1</v>
      </c>
      <c r="X100" s="26">
        <f ca="1">COUNT(X16:X98)</f>
        <v>3</v>
      </c>
      <c r="Y100" s="27">
        <f ca="1">COUNT(Y16:Y98)</f>
        <v>1</v>
      </c>
      <c r="Z100" s="27">
        <f ca="1">COUNT(Z16:Z98)</f>
        <v>0</v>
      </c>
      <c r="AA100" s="27">
        <f ca="1">COUNT(AA16:AA98)</f>
        <v>2</v>
      </c>
    </row>
  </sheetData>
  <autoFilter ref="AA15:AA100"/>
  <mergeCells count="117">
    <mergeCell ref="AA12:AA14"/>
    <mergeCell ref="U100:V100"/>
    <mergeCell ref="J12:V12"/>
    <mergeCell ref="U13:V13"/>
    <mergeCell ref="I30:I36"/>
    <mergeCell ref="G37:G43"/>
    <mergeCell ref="H37:H43"/>
    <mergeCell ref="I37:I43"/>
    <mergeCell ref="G44:G50"/>
    <mergeCell ref="H44:H50"/>
    <mergeCell ref="I44:I50"/>
    <mergeCell ref="G23:G29"/>
    <mergeCell ref="H23:H29"/>
    <mergeCell ref="I23:I29"/>
    <mergeCell ref="G30:G36"/>
    <mergeCell ref="G72:G78"/>
    <mergeCell ref="H72:H78"/>
    <mergeCell ref="I72:I78"/>
    <mergeCell ref="G79:G85"/>
    <mergeCell ref="H79:H85"/>
    <mergeCell ref="I79:I85"/>
    <mergeCell ref="G86:G92"/>
    <mergeCell ref="H86:H92"/>
    <mergeCell ref="I86:I92"/>
    <mergeCell ref="W31:W35"/>
    <mergeCell ref="X31:X35"/>
    <mergeCell ref="Y31:Y35"/>
    <mergeCell ref="Z31:Z35"/>
    <mergeCell ref="F3:P3"/>
    <mergeCell ref="F12:F13"/>
    <mergeCell ref="G12:G13"/>
    <mergeCell ref="H12:H13"/>
    <mergeCell ref="I12:I13"/>
    <mergeCell ref="F5:G5"/>
    <mergeCell ref="F6:G6"/>
    <mergeCell ref="F16:F22"/>
    <mergeCell ref="F23:F29"/>
    <mergeCell ref="W24:W28"/>
    <mergeCell ref="H30:H36"/>
    <mergeCell ref="F7:G7"/>
    <mergeCell ref="F8:G8"/>
    <mergeCell ref="F9:G9"/>
    <mergeCell ref="H16:H22"/>
    <mergeCell ref="G16:G22"/>
    <mergeCell ref="W10:X10"/>
    <mergeCell ref="X24:X28"/>
    <mergeCell ref="W12:Z14"/>
    <mergeCell ref="I16:I22"/>
    <mergeCell ref="K13:L13"/>
    <mergeCell ref="K14:L14"/>
    <mergeCell ref="M13:N13"/>
    <mergeCell ref="M14:N14"/>
    <mergeCell ref="M15:N15"/>
    <mergeCell ref="W17:W21"/>
    <mergeCell ref="X17:X21"/>
    <mergeCell ref="Y17:Y21"/>
    <mergeCell ref="Z17:Z21"/>
    <mergeCell ref="Y24:Y28"/>
    <mergeCell ref="Z24:Z28"/>
    <mergeCell ref="H93:H99"/>
    <mergeCell ref="I93:I99"/>
    <mergeCell ref="F30:F36"/>
    <mergeCell ref="F37:F43"/>
    <mergeCell ref="F44:F50"/>
    <mergeCell ref="F51:F57"/>
    <mergeCell ref="F58:F64"/>
    <mergeCell ref="F65:F71"/>
    <mergeCell ref="F72:F78"/>
    <mergeCell ref="F79:F85"/>
    <mergeCell ref="F86:F92"/>
    <mergeCell ref="G51:G57"/>
    <mergeCell ref="H51:H57"/>
    <mergeCell ref="I51:I57"/>
    <mergeCell ref="G58:G64"/>
    <mergeCell ref="H58:H64"/>
    <mergeCell ref="I58:I64"/>
    <mergeCell ref="G65:G71"/>
    <mergeCell ref="H65:H71"/>
    <mergeCell ref="I65:I71"/>
    <mergeCell ref="F93:F99"/>
    <mergeCell ref="G93:G99"/>
    <mergeCell ref="W38:W42"/>
    <mergeCell ref="X38:X42"/>
    <mergeCell ref="Y38:Y42"/>
    <mergeCell ref="Z38:Z42"/>
    <mergeCell ref="W45:W49"/>
    <mergeCell ref="X45:X49"/>
    <mergeCell ref="Y45:Y49"/>
    <mergeCell ref="Z45:Z49"/>
    <mergeCell ref="W52:W56"/>
    <mergeCell ref="X52:X56"/>
    <mergeCell ref="Y52:Y56"/>
    <mergeCell ref="Z52:Z56"/>
    <mergeCell ref="W59:W63"/>
    <mergeCell ref="X59:X63"/>
    <mergeCell ref="Y59:Y63"/>
    <mergeCell ref="Z59:Z63"/>
    <mergeCell ref="W66:W70"/>
    <mergeCell ref="X66:X70"/>
    <mergeCell ref="Y66:Y70"/>
    <mergeCell ref="Z66:Z70"/>
    <mergeCell ref="W73:W77"/>
    <mergeCell ref="X73:X77"/>
    <mergeCell ref="Y73:Y77"/>
    <mergeCell ref="Z73:Z77"/>
    <mergeCell ref="Z80:Z84"/>
    <mergeCell ref="W87:W91"/>
    <mergeCell ref="X87:X91"/>
    <mergeCell ref="Y87:Y91"/>
    <mergeCell ref="Z87:Z91"/>
    <mergeCell ref="W94:W98"/>
    <mergeCell ref="X94:X98"/>
    <mergeCell ref="Y94:Y98"/>
    <mergeCell ref="Z94:Z98"/>
    <mergeCell ref="W80:W84"/>
    <mergeCell ref="X80:X84"/>
    <mergeCell ref="Y80:Y84"/>
  </mergeCells>
  <phoneticPr fontId="7" type="noConversion"/>
  <conditionalFormatting sqref="L18 T25 T32 T39 T46 T53 T60 T67 T74 T81 T88 T95 L25 L32 L39 L46 L53 L60 L67 L74 L81 L88 L95 N25 N32 N39 N46 N53 N60 N67 N74 N81 N88 N95 P25 P32 P39 P46 P53 P60 P67 P74 P81 P88 P95 R25 R32 R39 R46 R53 R60 R67 R74 R81 R88 R95 V25 V32 V39 V46 V53 V60 V67 V74 V81 V88 V95 N18 P18 R18 T18 V18">
    <cfRule type="iconSet" priority="9">
      <iconSet reverse="1">
        <cfvo type="percent" val="0"/>
        <cfvo type="num" val="7"/>
        <cfvo type="num" val="7"/>
      </iconSet>
    </cfRule>
  </conditionalFormatting>
  <pageMargins left="0.7" right="0.7" top="0.75" bottom="0.75" header="0.3" footer="0.3"/>
  <pageSetup paperSize="9" scale="84"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iconSet" priority="5" id="{8A3AABEE-B8E2-43DF-9629-3A69EF4E074B}">
            <x14:iconSet custom="1">
              <x14:cfvo type="percent">
                <xm:f>0</xm:f>
              </x14:cfvo>
              <x14:cfvo type="num" gte="0">
                <xm:f>3</xm:f>
              </x14:cfvo>
              <x14:cfvo type="num" gte="0">
                <xm:f>7</xm:f>
              </x14:cfvo>
              <x14:cfIcon iconSet="3TrafficLights1" iconId="2"/>
              <x14:cfIcon iconSet="3TrafficLights1" iconId="1"/>
              <x14:cfIcon iconSet="3TrafficLights1" iconId="0"/>
            </x14:iconSet>
          </x14:cfRule>
          <xm:sqref>L7 T29 T36 T43 T50 T57 T64 T71 T78 T85 T92 T99 V29 V36 V43 V50 V57 V64 V71 V78 V85 V92 V99</xm:sqref>
        </x14:conditionalFormatting>
        <x14:conditionalFormatting xmlns:xm="http://schemas.microsoft.com/office/excel/2006/main">
          <x14:cfRule type="iconSet" priority="4" id="{B53AA663-79C2-4F7F-A32E-461431A79261}">
            <x14:iconSet custom="1">
              <x14:cfvo type="percent">
                <xm:f>0</xm:f>
              </x14:cfvo>
              <x14:cfvo type="num" gte="0">
                <xm:f>3</xm:f>
              </x14:cfvo>
              <x14:cfvo type="num" gte="0">
                <xm:f>7</xm:f>
              </x14:cfvo>
              <x14:cfIcon iconSet="3TrafficLights1" iconId="2"/>
              <x14:cfIcon iconSet="3TrafficLights1" iconId="1"/>
              <x14:cfIcon iconSet="3TrafficLights1" iconId="0"/>
            </x14:iconSet>
          </x14:cfRule>
          <xm:sqref>L22 L29 L36 L43 L50 L57 L64 L71 L78 L85 L92 L99 N22 P22 R22 T22 V22</xm:sqref>
        </x14:conditionalFormatting>
        <x14:conditionalFormatting xmlns:xm="http://schemas.microsoft.com/office/excel/2006/main">
          <x14:cfRule type="iconSet" priority="3" id="{4AF0068B-374B-431E-AC87-95F00CCB5CEE}">
            <x14:iconSet custom="1">
              <x14:cfvo type="percent">
                <xm:f>0</xm:f>
              </x14:cfvo>
              <x14:cfvo type="num" gte="0">
                <xm:f>3</xm:f>
              </x14:cfvo>
              <x14:cfvo type="num" gte="0">
                <xm:f>7</xm:f>
              </x14:cfvo>
              <x14:cfIcon iconSet="3TrafficLights1" iconId="2"/>
              <x14:cfIcon iconSet="3TrafficLights1" iconId="1"/>
              <x14:cfIcon iconSet="3TrafficLights1" iconId="0"/>
            </x14:iconSet>
          </x14:cfRule>
          <xm:sqref>N29 N36 N43 N50 N57 N64 N71 N78 N85 N92 N99 P29 P36 P43 P50 P57 P64 P71 P78 P85 P92 P99 R29 R36 R43 R50 R57 R64 R71 R78 R85 R92 R99</xm:sqref>
        </x14:conditionalFormatting>
        <x14:conditionalFormatting xmlns:xm="http://schemas.microsoft.com/office/excel/2006/main">
          <x14:cfRule type="iconSet" priority="1" id="{75B49521-9141-4A0C-838D-EB7FE4066975}">
            <x14:iconSet custom="1">
              <x14:cfvo type="percent">
                <xm:f>0</xm:f>
              </x14:cfvo>
              <x14:cfvo type="num">
                <xm:f>3</xm:f>
              </x14:cfvo>
              <x14:cfvo type="num">
                <xm:f>7</xm:f>
              </x14:cfvo>
              <x14:cfIcon iconSet="3TrafficLights1" iconId="2"/>
              <x14:cfIcon iconSet="3TrafficLights1" iconId="1"/>
              <x14:cfIcon iconSet="3TrafficLights1" iconId="0"/>
            </x14:iconSet>
          </x14:cfRule>
          <xm:sqref>AA16:AA99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tint="0.79998168889431442"/>
    <pageSetUpPr fitToPage="1"/>
  </sheetPr>
  <dimension ref="A1:AL100"/>
  <sheetViews>
    <sheetView showGridLines="0" topLeftCell="A60" zoomScale="70" zoomScaleNormal="70" zoomScaleSheetLayoutView="100" workbookViewId="0">
      <selection activeCell="N33" sqref="N33"/>
    </sheetView>
  </sheetViews>
  <sheetFormatPr defaultColWidth="9.140625" defaultRowHeight="14.25" x14ac:dyDescent="0.2"/>
  <cols>
    <col min="1" max="1" width="8.85546875" style="2" customWidth="1"/>
    <col min="2" max="2" width="6" style="2" customWidth="1"/>
    <col min="3" max="3" width="9.7109375" style="2" customWidth="1"/>
    <col min="4" max="4" width="3.5703125" style="2" customWidth="1"/>
    <col min="5" max="5" width="8.28515625" style="2" customWidth="1"/>
    <col min="6" max="6" width="5.140625" style="2" customWidth="1"/>
    <col min="7" max="7" width="27.5703125" style="2" customWidth="1"/>
    <col min="8" max="8" width="44.5703125" style="2" customWidth="1"/>
    <col min="9" max="9" width="7.85546875" style="2" customWidth="1"/>
    <col min="10" max="10" width="11.140625" style="2" customWidth="1"/>
    <col min="11" max="11" width="29.7109375" style="2" customWidth="1"/>
    <col min="12" max="12" width="5.85546875" style="46" customWidth="1"/>
    <col min="13" max="13" width="29.7109375" style="2" customWidth="1"/>
    <col min="14" max="14" width="5.85546875" style="46" customWidth="1"/>
    <col min="15" max="15" width="29.7109375" style="2" customWidth="1"/>
    <col min="16" max="16" width="5.7109375" style="46" customWidth="1"/>
    <col min="17" max="17" width="29.7109375" style="2" customWidth="1"/>
    <col min="18" max="18" width="8.28515625" style="46" customWidth="1"/>
    <col min="19" max="19" width="29.7109375" style="2" customWidth="1"/>
    <col min="20" max="20" width="5.85546875" style="46" customWidth="1"/>
    <col min="21" max="21" width="25.7109375" style="2" customWidth="1"/>
    <col min="22" max="22" width="4.28515625" style="46" customWidth="1"/>
    <col min="23" max="23" width="6.7109375" style="2" customWidth="1"/>
    <col min="24" max="24" width="4.85546875" style="2" customWidth="1"/>
    <col min="25" max="26" width="4.5703125" style="2" customWidth="1"/>
    <col min="27" max="27" width="11.42578125" style="2" customWidth="1"/>
    <col min="28" max="28" width="7.28515625" style="2" bestFit="1" customWidth="1"/>
    <col min="29" max="29" width="4.5703125" style="2" bestFit="1" customWidth="1"/>
    <col min="30" max="30" width="6.42578125" style="2" bestFit="1" customWidth="1"/>
    <col min="31" max="31" width="13.140625" style="2" bestFit="1" customWidth="1"/>
    <col min="32" max="32" width="8.85546875" style="3" bestFit="1" customWidth="1"/>
    <col min="33" max="33" width="11.5703125" style="2" bestFit="1" customWidth="1"/>
    <col min="34" max="34" width="7.28515625" style="2" bestFit="1" customWidth="1"/>
    <col min="35" max="35" width="4.5703125" style="2" bestFit="1" customWidth="1"/>
    <col min="36" max="36" width="6.42578125" style="2" bestFit="1" customWidth="1"/>
    <col min="37" max="37" width="13.140625" style="2" bestFit="1" customWidth="1"/>
    <col min="38" max="38" width="8.85546875" style="3" bestFit="1" customWidth="1"/>
    <col min="39" max="39" width="11.5703125" style="2" bestFit="1" customWidth="1"/>
    <col min="40" max="40" width="7.28515625" style="2" bestFit="1" customWidth="1"/>
    <col min="41" max="16384" width="9.140625" style="2"/>
  </cols>
  <sheetData>
    <row r="1" spans="1:38" ht="15" x14ac:dyDescent="0.25">
      <c r="F1" s="1"/>
    </row>
    <row r="2" spans="1:38" ht="15" x14ac:dyDescent="0.25">
      <c r="F2" s="1"/>
    </row>
    <row r="3" spans="1:38" ht="21" customHeight="1" x14ac:dyDescent="0.25">
      <c r="F3" s="143" t="s">
        <v>0</v>
      </c>
      <c r="G3" s="143"/>
      <c r="H3" s="143"/>
      <c r="I3" s="143"/>
      <c r="J3" s="143"/>
      <c r="K3" s="143"/>
      <c r="L3" s="143"/>
      <c r="M3" s="143"/>
      <c r="N3" s="143"/>
      <c r="O3" s="143"/>
      <c r="P3" s="143"/>
      <c r="Q3" s="54"/>
      <c r="U3" s="15"/>
    </row>
    <row r="4" spans="1:38" ht="15" x14ac:dyDescent="0.25">
      <c r="F4" s="1"/>
    </row>
    <row r="5" spans="1:38" ht="17.100000000000001" customHeight="1" x14ac:dyDescent="0.25">
      <c r="F5" s="152" t="s">
        <v>1</v>
      </c>
      <c r="G5" s="152"/>
      <c r="H5" s="1" t="str">
        <f>SUMMARY!E1</f>
        <v>PROJECT OPTIMALISASI FUNGSI EXCEL UNTUK REMINDER DOCUMENT</v>
      </c>
    </row>
    <row r="6" spans="1:38" ht="17.100000000000001" customHeight="1" x14ac:dyDescent="0.25">
      <c r="F6" s="152" t="s">
        <v>2</v>
      </c>
      <c r="G6" s="152"/>
      <c r="H6" s="33">
        <f>SUMMARY!E2</f>
        <v>14045</v>
      </c>
    </row>
    <row r="7" spans="1:38" ht="17.100000000000001" customHeight="1" x14ac:dyDescent="0.25">
      <c r="F7" s="152" t="s">
        <v>3</v>
      </c>
      <c r="G7" s="152"/>
      <c r="L7" s="67" t="str">
        <f>IF(AND(NOT(ISBLANK(K21)),ISBLANK(K22)),C22,"")</f>
        <v/>
      </c>
      <c r="W7" s="3"/>
      <c r="AC7" s="3"/>
      <c r="AF7" s="2"/>
      <c r="AI7" s="3"/>
      <c r="AL7" s="2"/>
    </row>
    <row r="8" spans="1:38" ht="17.100000000000001" customHeight="1" x14ac:dyDescent="0.25">
      <c r="F8" s="152" t="s">
        <v>4</v>
      </c>
      <c r="G8" s="152"/>
      <c r="W8" s="3"/>
      <c r="AC8" s="3"/>
      <c r="AF8" s="2"/>
      <c r="AI8" s="3"/>
      <c r="AL8" s="2"/>
    </row>
    <row r="9" spans="1:38" ht="17.25" customHeight="1" x14ac:dyDescent="0.25">
      <c r="F9" s="152" t="s">
        <v>5</v>
      </c>
      <c r="G9" s="152"/>
      <c r="J9" s="5"/>
      <c r="W9" s="3"/>
      <c r="AC9" s="3"/>
      <c r="AF9" s="2"/>
      <c r="AI9" s="3"/>
      <c r="AL9" s="2"/>
    </row>
    <row r="10" spans="1:38" ht="18.75" customHeight="1" x14ac:dyDescent="0.25">
      <c r="F10" s="1"/>
      <c r="J10" s="5" t="s">
        <v>6</v>
      </c>
      <c r="Q10" s="14"/>
      <c r="S10" s="14"/>
      <c r="U10" s="52"/>
      <c r="W10" s="153">
        <f ca="1">TODAY()</f>
        <v>44564</v>
      </c>
      <c r="X10" s="153"/>
      <c r="AC10" s="3"/>
      <c r="AF10" s="2"/>
      <c r="AI10" s="3"/>
      <c r="AL10" s="2"/>
    </row>
    <row r="11" spans="1:38" ht="12.6" customHeight="1" thickBot="1" x14ac:dyDescent="0.3">
      <c r="F11" s="1"/>
      <c r="J11" s="5" t="s">
        <v>7</v>
      </c>
      <c r="R11" s="50"/>
      <c r="T11" s="50"/>
      <c r="V11" s="50"/>
      <c r="AC11" s="3"/>
      <c r="AF11" s="2"/>
      <c r="AI11" s="3"/>
      <c r="AL11" s="2"/>
    </row>
    <row r="12" spans="1:38" s="51" customFormat="1" ht="18" customHeight="1" x14ac:dyDescent="0.25">
      <c r="A12" s="2">
        <f ca="1">COUNTIFS(C16:C253,"&lt;50",C16:C253,"&gt;7")</f>
        <v>0</v>
      </c>
      <c r="F12" s="144" t="s">
        <v>8</v>
      </c>
      <c r="G12" s="146" t="s">
        <v>9</v>
      </c>
      <c r="H12" s="148" t="s">
        <v>10</v>
      </c>
      <c r="I12" s="150" t="s">
        <v>11</v>
      </c>
      <c r="J12" s="165" t="s">
        <v>12</v>
      </c>
      <c r="K12" s="166"/>
      <c r="L12" s="166"/>
      <c r="M12" s="166"/>
      <c r="N12" s="166"/>
      <c r="O12" s="166"/>
      <c r="P12" s="166"/>
      <c r="Q12" s="166"/>
      <c r="R12" s="166"/>
      <c r="S12" s="166"/>
      <c r="T12" s="166"/>
      <c r="U12" s="166"/>
      <c r="V12" s="173"/>
      <c r="W12" s="174" t="s">
        <v>34</v>
      </c>
      <c r="X12" s="174"/>
      <c r="Y12" s="174"/>
      <c r="Z12" s="174"/>
      <c r="AA12" s="160" t="s">
        <v>93</v>
      </c>
    </row>
    <row r="13" spans="1:38" s="51" customFormat="1" ht="18" customHeight="1" thickBot="1" x14ac:dyDescent="0.3">
      <c r="F13" s="145"/>
      <c r="G13" s="147"/>
      <c r="H13" s="149"/>
      <c r="I13" s="151"/>
      <c r="J13" s="69" t="s">
        <v>13</v>
      </c>
      <c r="K13" s="133">
        <v>0</v>
      </c>
      <c r="L13" s="134"/>
      <c r="M13" s="137">
        <v>1</v>
      </c>
      <c r="N13" s="134"/>
      <c r="O13" s="56">
        <v>2</v>
      </c>
      <c r="P13" s="57"/>
      <c r="Q13" s="56">
        <v>3</v>
      </c>
      <c r="R13" s="57"/>
      <c r="S13" s="56">
        <v>4</v>
      </c>
      <c r="T13" s="57"/>
      <c r="U13" s="137">
        <v>5</v>
      </c>
      <c r="V13" s="176"/>
      <c r="W13" s="174"/>
      <c r="X13" s="174"/>
      <c r="Y13" s="174"/>
      <c r="Z13" s="174"/>
      <c r="AA13" s="161"/>
      <c r="AC13" s="7"/>
      <c r="AI13" s="7"/>
    </row>
    <row r="14" spans="1:38" s="51" customFormat="1" ht="6.75" customHeight="1" thickBot="1" x14ac:dyDescent="0.3">
      <c r="F14" s="8"/>
      <c r="G14" s="9"/>
      <c r="H14" s="8"/>
      <c r="I14" s="8"/>
      <c r="J14" s="59"/>
      <c r="K14" s="135"/>
      <c r="L14" s="136"/>
      <c r="M14" s="138"/>
      <c r="N14" s="139"/>
      <c r="O14" s="16"/>
      <c r="P14" s="47"/>
      <c r="Q14" s="16"/>
      <c r="R14" s="47"/>
      <c r="S14" s="16"/>
      <c r="T14" s="47"/>
      <c r="U14" s="34"/>
      <c r="V14" s="47"/>
      <c r="W14" s="175"/>
      <c r="X14" s="175"/>
      <c r="Y14" s="175"/>
      <c r="Z14" s="175"/>
      <c r="AA14" s="162"/>
      <c r="AC14" s="7"/>
      <c r="AI14" s="7"/>
    </row>
    <row r="15" spans="1:38" s="11" customFormat="1" ht="24.95" customHeight="1" thickBot="1" x14ac:dyDescent="0.35">
      <c r="A15" s="25" t="s">
        <v>77</v>
      </c>
      <c r="B15" s="25" t="s">
        <v>78</v>
      </c>
      <c r="C15" s="25" t="s">
        <v>52</v>
      </c>
      <c r="D15" s="25" t="s">
        <v>33</v>
      </c>
      <c r="E15" s="25" t="s">
        <v>56</v>
      </c>
      <c r="F15" s="24"/>
      <c r="G15" s="23" t="s">
        <v>30</v>
      </c>
      <c r="H15" s="10"/>
      <c r="I15" s="10"/>
      <c r="J15" s="62"/>
      <c r="K15" s="171"/>
      <c r="L15" s="172"/>
      <c r="M15" s="140"/>
      <c r="N15" s="141"/>
      <c r="O15" s="74"/>
      <c r="P15" s="75"/>
      <c r="Q15" s="74"/>
      <c r="R15" s="75"/>
      <c r="S15" s="74"/>
      <c r="T15" s="75"/>
      <c r="U15" s="35"/>
      <c r="V15" s="48"/>
      <c r="W15" s="32" t="s">
        <v>26</v>
      </c>
      <c r="X15" s="32" t="s">
        <v>14</v>
      </c>
      <c r="Y15" s="32" t="s">
        <v>15</v>
      </c>
      <c r="Z15" s="32" t="s">
        <v>49</v>
      </c>
      <c r="AA15" s="32" t="s">
        <v>92</v>
      </c>
      <c r="AC15" s="12"/>
      <c r="AI15" s="12"/>
    </row>
    <row r="16" spans="1:38" s="11" customFormat="1" ht="15" customHeight="1" x14ac:dyDescent="0.3">
      <c r="A16" s="36" t="str">
        <f>_xlfn.CONCAT(G16)</f>
        <v>NPK-300-R1-GS-4001-K</v>
      </c>
      <c r="B16" s="37" t="str">
        <f>_xlfn.CONCAT(H16)</f>
        <v>SPECIFICATION FOR CENTRIFUGAL PUMP</v>
      </c>
      <c r="C16" s="38" t="str">
        <f>IF(ISBLANK(K21),NETWORKDAYS(K18,$W$10),"")</f>
        <v/>
      </c>
      <c r="D16" s="72" t="str">
        <f ca="1">IFERROR(LOOKUP($W$10,K21:V21,K20:V20),"")</f>
        <v>APPROVED WITH COMMENT</v>
      </c>
      <c r="E16" s="72">
        <f ca="1">IF(AND(NOT(ISBLANK(K21)),ISBLANK(M18)),NETWORKDAYS(K21,$W$10),"")</f>
        <v>371</v>
      </c>
      <c r="F16" s="130">
        <v>1</v>
      </c>
      <c r="G16" s="127" t="s">
        <v>67</v>
      </c>
      <c r="H16" s="124" t="s">
        <v>68</v>
      </c>
      <c r="I16" s="127" t="s">
        <v>31</v>
      </c>
      <c r="J16" s="63" t="s">
        <v>16</v>
      </c>
      <c r="K16" s="84" t="s">
        <v>80</v>
      </c>
      <c r="L16" s="49"/>
      <c r="M16" s="55"/>
      <c r="N16" s="49"/>
      <c r="O16" s="55"/>
      <c r="P16" s="49"/>
      <c r="Q16" s="55"/>
      <c r="R16" s="49"/>
      <c r="S16" s="55"/>
      <c r="T16" s="49"/>
      <c r="U16" s="55"/>
      <c r="V16" s="49"/>
      <c r="W16" s="80"/>
      <c r="X16" s="80"/>
      <c r="Y16" s="80"/>
      <c r="Z16" s="80"/>
      <c r="AA16" s="85">
        <f ca="1">L22</f>
        <v>371</v>
      </c>
      <c r="AC16" s="12"/>
      <c r="AG16" s="13"/>
      <c r="AI16" s="12"/>
    </row>
    <row r="17" spans="1:38" s="11" customFormat="1" ht="15" customHeight="1" x14ac:dyDescent="0.3">
      <c r="A17" s="39" t="str">
        <f>A16</f>
        <v>NPK-300-R1-GS-4001-K</v>
      </c>
      <c r="B17" s="21" t="str">
        <f>B16</f>
        <v>SPECIFICATION FOR CENTRIFUGAL PUMP</v>
      </c>
      <c r="C17" s="22">
        <f ca="1">IF(ISBLANK(M21),NETWORKDAYS(M18,$W$10),"")</f>
        <v>31831</v>
      </c>
      <c r="D17" s="40"/>
      <c r="E17" s="78" t="str">
        <f>IF(AND(NOT(ISBLANK(M21)),ISBLANK(O18)),NETWORKDAYS(M21,$W$10),"")</f>
        <v/>
      </c>
      <c r="F17" s="131"/>
      <c r="G17" s="128"/>
      <c r="H17" s="125"/>
      <c r="I17" s="128"/>
      <c r="J17" s="63" t="s">
        <v>17</v>
      </c>
      <c r="K17" s="55" t="s">
        <v>28</v>
      </c>
      <c r="L17" s="49"/>
      <c r="M17" s="55"/>
      <c r="N17" s="49"/>
      <c r="O17" s="55"/>
      <c r="P17" s="49"/>
      <c r="Q17" s="55"/>
      <c r="R17" s="49"/>
      <c r="S17" s="55"/>
      <c r="T17" s="49"/>
      <c r="U17" s="55"/>
      <c r="V17" s="49"/>
      <c r="W17" s="123" t="str">
        <f ca="1">IF(D16="APPROVED",1,"")</f>
        <v/>
      </c>
      <c r="X17" s="122">
        <f ca="1">IF(D16="APPROVED WITH COMMENT",1,"")</f>
        <v>1</v>
      </c>
      <c r="Y17" s="122" t="str">
        <f ca="1">IF(D16="NOT APPROVED",1,"")</f>
        <v/>
      </c>
      <c r="Z17" s="122" t="str">
        <f ca="1">IF(D16="INFORMATION",1,"")</f>
        <v/>
      </c>
      <c r="AA17" s="99" t="str">
        <f>N22</f>
        <v/>
      </c>
      <c r="AC17" s="12"/>
      <c r="AG17" s="13"/>
      <c r="AI17" s="12"/>
    </row>
    <row r="18" spans="1:38" s="11" customFormat="1" ht="15" customHeight="1" x14ac:dyDescent="0.3">
      <c r="A18" s="39" t="str">
        <f t="shared" ref="A18:B21" si="0">A17</f>
        <v>NPK-300-R1-GS-4001-K</v>
      </c>
      <c r="B18" s="21" t="str">
        <f t="shared" si="0"/>
        <v>SPECIFICATION FOR CENTRIFUGAL PUMP</v>
      </c>
      <c r="C18" s="22">
        <f ca="1">IF(ISBLANK(O21),NETWORKDAYS(O18,$W$10),"")</f>
        <v>31831</v>
      </c>
      <c r="D18" s="40"/>
      <c r="E18" s="78" t="str">
        <f>IF(AND(NOT(ISBLANK(O21)),ISBLANK(Q18)),NETWORKDAYS(O21,$W$10),"")</f>
        <v/>
      </c>
      <c r="F18" s="131"/>
      <c r="G18" s="128"/>
      <c r="H18" s="125"/>
      <c r="I18" s="128"/>
      <c r="J18" s="63" t="s">
        <v>18</v>
      </c>
      <c r="K18" s="53">
        <v>44044</v>
      </c>
      <c r="L18" s="45" t="str">
        <f>IF(AND(K18="",K21=""),"",C16)</f>
        <v/>
      </c>
      <c r="M18" s="53"/>
      <c r="N18" s="45" t="str">
        <f>IF(AND(M18="",M21=""),"",C17)</f>
        <v/>
      </c>
      <c r="O18" s="53"/>
      <c r="P18" s="45" t="str">
        <f>IF(AND(O18="",O21=""),"",C18)</f>
        <v/>
      </c>
      <c r="Q18" s="53"/>
      <c r="R18" s="45" t="str">
        <f>IF(AND(Q18="",Q21=""),"",C19)</f>
        <v/>
      </c>
      <c r="S18" s="53"/>
      <c r="T18" s="45" t="str">
        <f>IF(AND(S18="",S21=""),"",C20)</f>
        <v/>
      </c>
      <c r="U18" s="53"/>
      <c r="V18" s="45" t="str">
        <f>IF(AND(U18="",U21=""),"",C21)</f>
        <v/>
      </c>
      <c r="W18" s="123"/>
      <c r="X18" s="122"/>
      <c r="Y18" s="122"/>
      <c r="Z18" s="122"/>
      <c r="AA18" s="99" t="str">
        <f>P22</f>
        <v/>
      </c>
      <c r="AC18" s="12"/>
      <c r="AG18" s="13"/>
      <c r="AI18" s="12"/>
    </row>
    <row r="19" spans="1:38" s="11" customFormat="1" ht="15" customHeight="1" x14ac:dyDescent="0.3">
      <c r="A19" s="39" t="str">
        <f t="shared" si="0"/>
        <v>NPK-300-R1-GS-4001-K</v>
      </c>
      <c r="B19" s="21" t="str">
        <f t="shared" si="0"/>
        <v>SPECIFICATION FOR CENTRIFUGAL PUMP</v>
      </c>
      <c r="C19" s="22">
        <f ca="1">IF(ISBLANK(Q21),NETWORKDAYS(Q18,$W$10),"")</f>
        <v>31831</v>
      </c>
      <c r="D19" s="40"/>
      <c r="E19" s="78" t="str">
        <f>IF(AND(NOT(ISBLANK(Q21)),ISBLANK(S18)),NETWORKDAYS(Q21,$W$10),"")</f>
        <v/>
      </c>
      <c r="F19" s="131"/>
      <c r="G19" s="128"/>
      <c r="H19" s="125"/>
      <c r="I19" s="128"/>
      <c r="J19" s="63" t="s">
        <v>19</v>
      </c>
      <c r="K19" s="70" t="s">
        <v>51</v>
      </c>
      <c r="L19" s="49"/>
      <c r="M19" s="70"/>
      <c r="N19" s="49"/>
      <c r="O19" s="70"/>
      <c r="P19" s="49"/>
      <c r="Q19" s="70"/>
      <c r="R19" s="49"/>
      <c r="S19" s="70"/>
      <c r="T19" s="49"/>
      <c r="U19" s="70"/>
      <c r="V19" s="49"/>
      <c r="W19" s="123"/>
      <c r="X19" s="122"/>
      <c r="Y19" s="122"/>
      <c r="Z19" s="122"/>
      <c r="AA19" s="99" t="str">
        <f>R22</f>
        <v/>
      </c>
      <c r="AC19" s="12"/>
      <c r="AG19" s="13"/>
      <c r="AI19" s="12"/>
    </row>
    <row r="20" spans="1:38" s="11" customFormat="1" ht="15" customHeight="1" x14ac:dyDescent="0.3">
      <c r="A20" s="39" t="str">
        <f t="shared" si="0"/>
        <v>NPK-300-R1-GS-4001-K</v>
      </c>
      <c r="B20" s="21" t="str">
        <f t="shared" si="0"/>
        <v>SPECIFICATION FOR CENTRIFUGAL PUMP</v>
      </c>
      <c r="C20" s="22">
        <f ca="1">IF(ISBLANK(S21),NETWORKDAYS(S18,$W$10),"")</f>
        <v>31831</v>
      </c>
      <c r="D20" s="40"/>
      <c r="E20" s="78" t="str">
        <f>IF(AND(NOT(ISBLANK(S21)),ISBLANK(U18)),NETWORKDAYS(S21,$W$10),"")</f>
        <v/>
      </c>
      <c r="F20" s="131"/>
      <c r="G20" s="128"/>
      <c r="H20" s="125"/>
      <c r="I20" s="128"/>
      <c r="J20" s="64" t="s">
        <v>20</v>
      </c>
      <c r="K20" s="70" t="s">
        <v>35</v>
      </c>
      <c r="L20" s="49"/>
      <c r="M20" s="70"/>
      <c r="N20" s="49"/>
      <c r="O20" s="70"/>
      <c r="P20" s="49"/>
      <c r="Q20" s="70"/>
      <c r="R20" s="49"/>
      <c r="S20" s="70"/>
      <c r="T20" s="49"/>
      <c r="U20" s="70"/>
      <c r="V20" s="49"/>
      <c r="W20" s="123"/>
      <c r="X20" s="122"/>
      <c r="Y20" s="122"/>
      <c r="Z20" s="122"/>
      <c r="AA20" s="99" t="str">
        <f>T22</f>
        <v/>
      </c>
      <c r="AC20" s="12"/>
      <c r="AG20" s="13"/>
      <c r="AI20" s="12"/>
    </row>
    <row r="21" spans="1:38" s="11" customFormat="1" ht="15" customHeight="1" thickBot="1" x14ac:dyDescent="0.35">
      <c r="A21" s="41" t="str">
        <f t="shared" si="0"/>
        <v>NPK-300-R1-GS-4001-K</v>
      </c>
      <c r="B21" s="42" t="str">
        <f t="shared" si="0"/>
        <v>SPECIFICATION FOR CENTRIFUGAL PUMP</v>
      </c>
      <c r="C21" s="43">
        <f ca="1">IF(ISBLANK(U21),NETWORKDAYS(U18,$W$10),"")</f>
        <v>31831</v>
      </c>
      <c r="D21" s="44"/>
      <c r="E21" s="79"/>
      <c r="F21" s="131"/>
      <c r="G21" s="128"/>
      <c r="H21" s="125"/>
      <c r="I21" s="128"/>
      <c r="J21" s="63" t="s">
        <v>18</v>
      </c>
      <c r="K21" s="71">
        <v>44046</v>
      </c>
      <c r="L21" s="45"/>
      <c r="M21" s="71"/>
      <c r="N21" s="45"/>
      <c r="O21" s="71"/>
      <c r="P21" s="45"/>
      <c r="Q21" s="71"/>
      <c r="R21" s="45"/>
      <c r="S21" s="71"/>
      <c r="T21" s="45"/>
      <c r="U21" s="71"/>
      <c r="V21" s="45"/>
      <c r="W21" s="123"/>
      <c r="X21" s="122"/>
      <c r="Y21" s="122"/>
      <c r="Z21" s="122"/>
      <c r="AA21" s="99"/>
      <c r="AD21" s="13"/>
      <c r="AF21" s="12"/>
      <c r="AJ21" s="13"/>
      <c r="AL21" s="12"/>
    </row>
    <row r="22" spans="1:38" s="11" customFormat="1" ht="15" customHeight="1" thickBot="1" x14ac:dyDescent="0.35">
      <c r="A22" s="39"/>
      <c r="B22" s="21"/>
      <c r="C22" s="22"/>
      <c r="D22" s="40"/>
      <c r="E22" s="22"/>
      <c r="F22" s="132"/>
      <c r="G22" s="129"/>
      <c r="H22" s="126"/>
      <c r="I22" s="129"/>
      <c r="J22" s="63" t="s">
        <v>53</v>
      </c>
      <c r="K22" s="66" t="str">
        <f>IF(NOT(ISBLANK(M18)),NETWORKDAYS(K21,M18),"")</f>
        <v/>
      </c>
      <c r="L22" s="73">
        <f ca="1">IF(K20="APPROVED","",E16)</f>
        <v>371</v>
      </c>
      <c r="M22" s="66" t="str">
        <f>IF(NOT(ISBLANK(O18)),NETWORKDAYS(M21,O18),"")</f>
        <v/>
      </c>
      <c r="N22" s="73" t="str">
        <f>IF(M20="APPROVED","",E17)</f>
        <v/>
      </c>
      <c r="O22" s="66" t="str">
        <f t="shared" ref="O22" si="1">IF(NOT(ISBLANK(Q18)),NETWORKDAYS(O21,Q18),"")</f>
        <v/>
      </c>
      <c r="P22" s="73" t="str">
        <f>IF(O20="APPROVED","",E18)</f>
        <v/>
      </c>
      <c r="Q22" s="66" t="str">
        <f>IF(NOT(ISBLANK(S18)),NETWORKDAYS(Q21,$W$10),"")</f>
        <v/>
      </c>
      <c r="R22" s="73" t="str">
        <f>IF(Q20="APPROVED","",E19)</f>
        <v/>
      </c>
      <c r="S22" s="65" t="str">
        <f>IF(U18="","",NETWORKDAYS(S21,U18))</f>
        <v/>
      </c>
      <c r="T22" s="67" t="str">
        <f>IF(AND(NOT(ISBLANK(S21)),ISBLANK(U18)),E20,"")</f>
        <v/>
      </c>
      <c r="U22" s="76"/>
      <c r="V22" s="77" t="str">
        <f>IF(AND(NOT(ISBLANK(U21)),ISBLANK(U22)),#REF!,"")</f>
        <v/>
      </c>
      <c r="W22" s="58"/>
      <c r="X22" s="58"/>
      <c r="Y22" s="58"/>
      <c r="Z22" s="58"/>
      <c r="AA22" s="58"/>
      <c r="AD22" s="13"/>
      <c r="AF22" s="12"/>
      <c r="AJ22" s="13"/>
      <c r="AL22" s="12"/>
    </row>
    <row r="23" spans="1:38" s="11" customFormat="1" ht="15" customHeight="1" x14ac:dyDescent="0.3">
      <c r="A23" s="36" t="str">
        <f t="shared" ref="A23:B23" si="2">_xlfn.CONCAT(G23)</f>
        <v>NPK-300-R3-GS-4001-K</v>
      </c>
      <c r="B23" s="37" t="str">
        <f t="shared" si="2"/>
        <v xml:space="preserve">SPECIFICATION FOR FAN AND BLOWER </v>
      </c>
      <c r="C23" s="38" t="str">
        <f t="shared" ref="C23" si="3">IF(ISBLANK(K28),NETWORKDAYS(K25,$W$10),"")</f>
        <v/>
      </c>
      <c r="D23" s="72" t="str">
        <f t="shared" ref="D23" ca="1" si="4">IFERROR(LOOKUP($W$10,K28:V28,K27:V27),"")</f>
        <v>APPROVED</v>
      </c>
      <c r="E23" s="72" t="str">
        <f t="shared" ref="E23" si="5">IF(AND(NOT(ISBLANK(K28)),ISBLANK(M25)),NETWORKDAYS(K28,$W$10),"")</f>
        <v/>
      </c>
      <c r="F23" s="130">
        <v>2</v>
      </c>
      <c r="G23" s="127" t="s">
        <v>69</v>
      </c>
      <c r="H23" s="124" t="s">
        <v>70</v>
      </c>
      <c r="I23" s="127" t="s">
        <v>31</v>
      </c>
      <c r="J23" s="63" t="s">
        <v>16</v>
      </c>
      <c r="K23" s="84" t="s">
        <v>80</v>
      </c>
      <c r="L23" s="49"/>
      <c r="M23" s="84" t="s">
        <v>81</v>
      </c>
      <c r="N23" s="49"/>
      <c r="O23" s="55"/>
      <c r="P23" s="49"/>
      <c r="Q23" s="55"/>
      <c r="R23" s="49"/>
      <c r="S23" s="55"/>
      <c r="T23" s="49"/>
      <c r="U23" s="55"/>
      <c r="V23" s="49"/>
      <c r="W23" s="80"/>
      <c r="X23" s="80"/>
      <c r="Y23" s="80"/>
      <c r="Z23" s="80"/>
      <c r="AA23" s="85" t="str">
        <f t="shared" ref="AA23" si="6">L29</f>
        <v/>
      </c>
      <c r="AF23" s="12"/>
      <c r="AL23" s="12"/>
    </row>
    <row r="24" spans="1:38" s="11" customFormat="1" ht="15" customHeight="1" x14ac:dyDescent="0.3">
      <c r="A24" s="39" t="str">
        <f t="shared" ref="A24:B84" si="7">A23</f>
        <v>NPK-300-R3-GS-4001-K</v>
      </c>
      <c r="B24" s="21" t="str">
        <f t="shared" si="7"/>
        <v xml:space="preserve">SPECIFICATION FOR FAN AND BLOWER </v>
      </c>
      <c r="C24" s="22" t="str">
        <f t="shared" ref="C24" si="8">IF(ISBLANK(M28),NETWORKDAYS(M25,$W$10),"")</f>
        <v/>
      </c>
      <c r="D24" s="40"/>
      <c r="E24" s="78">
        <f t="shared" ref="E24" ca="1" si="9">IF(AND(NOT(ISBLANK(M28)),ISBLANK(O25)),NETWORKDAYS(M28,$W$10),"")</f>
        <v>368</v>
      </c>
      <c r="F24" s="131"/>
      <c r="G24" s="128"/>
      <c r="H24" s="125"/>
      <c r="I24" s="128"/>
      <c r="J24" s="63" t="s">
        <v>17</v>
      </c>
      <c r="K24" s="55" t="s">
        <v>28</v>
      </c>
      <c r="L24" s="49"/>
      <c r="M24" s="55" t="s">
        <v>32</v>
      </c>
      <c r="N24" s="49"/>
      <c r="O24" s="55"/>
      <c r="P24" s="49"/>
      <c r="Q24" s="55"/>
      <c r="R24" s="49"/>
      <c r="S24" s="55"/>
      <c r="T24" s="49"/>
      <c r="U24" s="55"/>
      <c r="V24" s="49"/>
      <c r="W24" s="123">
        <f t="shared" ref="W24" ca="1" si="10">IF(D23="APPROVED",1,"")</f>
        <v>1</v>
      </c>
      <c r="X24" s="122" t="str">
        <f t="shared" ref="X24" ca="1" si="11">IF(D23="APPROVED WITH COMMENT",1,"")</f>
        <v/>
      </c>
      <c r="Y24" s="122" t="str">
        <f t="shared" ref="Y24" ca="1" si="12">IF(D23="NOT APPROVED",1,"")</f>
        <v/>
      </c>
      <c r="Z24" s="122" t="str">
        <f t="shared" ref="Z24" ca="1" si="13">IF(D23="INFORMATION",1,"")</f>
        <v/>
      </c>
      <c r="AA24" s="99" t="str">
        <f t="shared" ref="AA24" si="14">N29</f>
        <v/>
      </c>
      <c r="AD24" s="13"/>
      <c r="AF24" s="12"/>
      <c r="AJ24" s="13"/>
      <c r="AL24" s="12"/>
    </row>
    <row r="25" spans="1:38" s="11" customFormat="1" ht="15" customHeight="1" x14ac:dyDescent="0.3">
      <c r="A25" s="39" t="str">
        <f t="shared" si="7"/>
        <v>NPK-300-R3-GS-4001-K</v>
      </c>
      <c r="B25" s="21" t="str">
        <f t="shared" si="7"/>
        <v xml:space="preserve">SPECIFICATION FOR FAN AND BLOWER </v>
      </c>
      <c r="C25" s="22">
        <f t="shared" ref="C25" ca="1" si="15">IF(ISBLANK(O28),NETWORKDAYS(O25,$W$10),"")</f>
        <v>31831</v>
      </c>
      <c r="D25" s="40"/>
      <c r="E25" s="78" t="str">
        <f t="shared" ref="E25" si="16">IF(AND(NOT(ISBLANK(O28)),ISBLANK(Q25)),NETWORKDAYS(O28,$W$10),"")</f>
        <v/>
      </c>
      <c r="F25" s="131"/>
      <c r="G25" s="128"/>
      <c r="H25" s="125"/>
      <c r="I25" s="128"/>
      <c r="J25" s="63" t="s">
        <v>18</v>
      </c>
      <c r="K25" s="53">
        <v>44044</v>
      </c>
      <c r="L25" s="45" t="str">
        <f t="shared" ref="L25" si="17">IF(AND(K25="",K28=""),"",C23)</f>
        <v/>
      </c>
      <c r="M25" s="53">
        <v>44046</v>
      </c>
      <c r="N25" s="45" t="str">
        <f t="shared" ref="N25" si="18">IF(AND(M25="",M28=""),"",C24)</f>
        <v/>
      </c>
      <c r="O25" s="53"/>
      <c r="P25" s="45" t="str">
        <f t="shared" ref="P25" si="19">IF(AND(O25="",O28=""),"",C25)</f>
        <v/>
      </c>
      <c r="Q25" s="53"/>
      <c r="R25" s="45" t="str">
        <f t="shared" ref="R25" si="20">IF(AND(Q25="",Q28=""),"",C26)</f>
        <v/>
      </c>
      <c r="S25" s="53"/>
      <c r="T25" s="45" t="str">
        <f t="shared" ref="T25" si="21">IF(AND(S25="",S28=""),"",C27)</f>
        <v/>
      </c>
      <c r="U25" s="53"/>
      <c r="V25" s="45" t="str">
        <f t="shared" ref="V25" si="22">IF(AND(U25="",U28=""),"",C28)</f>
        <v/>
      </c>
      <c r="W25" s="123"/>
      <c r="X25" s="122"/>
      <c r="Y25" s="122"/>
      <c r="Z25" s="122"/>
      <c r="AA25" s="99" t="str">
        <f t="shared" ref="AA25" si="23">P29</f>
        <v/>
      </c>
      <c r="AD25" s="13"/>
      <c r="AF25" s="12"/>
      <c r="AJ25" s="13"/>
      <c r="AL25" s="12"/>
    </row>
    <row r="26" spans="1:38" s="11" customFormat="1" ht="15" customHeight="1" x14ac:dyDescent="0.3">
      <c r="A26" s="39" t="str">
        <f t="shared" si="7"/>
        <v>NPK-300-R3-GS-4001-K</v>
      </c>
      <c r="B26" s="21" t="str">
        <f t="shared" si="7"/>
        <v xml:space="preserve">SPECIFICATION FOR FAN AND BLOWER </v>
      </c>
      <c r="C26" s="22">
        <f t="shared" ref="C26" ca="1" si="24">IF(ISBLANK(Q28),NETWORKDAYS(Q25,$W$10),"")</f>
        <v>31831</v>
      </c>
      <c r="D26" s="40"/>
      <c r="E26" s="78" t="str">
        <f t="shared" ref="E26" si="25">IF(AND(NOT(ISBLANK(Q28)),ISBLANK(S25)),NETWORKDAYS(Q28,$W$10),"")</f>
        <v/>
      </c>
      <c r="F26" s="131"/>
      <c r="G26" s="128"/>
      <c r="H26" s="125"/>
      <c r="I26" s="128"/>
      <c r="J26" s="63" t="s">
        <v>19</v>
      </c>
      <c r="K26" s="70" t="s">
        <v>51</v>
      </c>
      <c r="L26" s="49"/>
      <c r="M26" s="70" t="s">
        <v>54</v>
      </c>
      <c r="N26" s="49"/>
      <c r="O26" s="70"/>
      <c r="P26" s="49"/>
      <c r="Q26" s="70"/>
      <c r="R26" s="49"/>
      <c r="S26" s="70"/>
      <c r="T26" s="49"/>
      <c r="U26" s="70"/>
      <c r="V26" s="49"/>
      <c r="W26" s="123"/>
      <c r="X26" s="122"/>
      <c r="Y26" s="122"/>
      <c r="Z26" s="122"/>
      <c r="AA26" s="99" t="str">
        <f t="shared" ref="AA26" si="26">R29</f>
        <v/>
      </c>
      <c r="AD26" s="13"/>
      <c r="AF26" s="12"/>
      <c r="AJ26" s="13"/>
      <c r="AL26" s="12"/>
    </row>
    <row r="27" spans="1:38" s="11" customFormat="1" ht="15" customHeight="1" x14ac:dyDescent="0.3">
      <c r="A27" s="39" t="str">
        <f t="shared" si="7"/>
        <v>NPK-300-R3-GS-4001-K</v>
      </c>
      <c r="B27" s="21" t="str">
        <f t="shared" si="7"/>
        <v xml:space="preserve">SPECIFICATION FOR FAN AND BLOWER </v>
      </c>
      <c r="C27" s="22">
        <f t="shared" ref="C27" ca="1" si="27">IF(ISBLANK(S28),NETWORKDAYS(S25,$W$10),"")</f>
        <v>31831</v>
      </c>
      <c r="D27" s="40"/>
      <c r="E27" s="78" t="str">
        <f t="shared" ref="E27" si="28">IF(AND(NOT(ISBLANK(S28)),ISBLANK(U25)),NETWORKDAYS(S28,$W$10),"")</f>
        <v/>
      </c>
      <c r="F27" s="131"/>
      <c r="G27" s="128"/>
      <c r="H27" s="125"/>
      <c r="I27" s="128"/>
      <c r="J27" s="64" t="s">
        <v>20</v>
      </c>
      <c r="K27" s="70" t="s">
        <v>35</v>
      </c>
      <c r="L27" s="49"/>
      <c r="M27" s="70" t="s">
        <v>29</v>
      </c>
      <c r="N27" s="49"/>
      <c r="O27" s="70"/>
      <c r="P27" s="49"/>
      <c r="Q27" s="70"/>
      <c r="R27" s="49"/>
      <c r="S27" s="70"/>
      <c r="T27" s="49"/>
      <c r="U27" s="70"/>
      <c r="V27" s="49"/>
      <c r="W27" s="123"/>
      <c r="X27" s="122"/>
      <c r="Y27" s="122"/>
      <c r="Z27" s="122"/>
      <c r="AA27" s="99" t="str">
        <f t="shared" ref="AA27" si="29">T29</f>
        <v/>
      </c>
      <c r="AD27" s="13"/>
      <c r="AF27" s="12"/>
      <c r="AJ27" s="13"/>
      <c r="AL27" s="12"/>
    </row>
    <row r="28" spans="1:38" s="11" customFormat="1" ht="15" customHeight="1" thickBot="1" x14ac:dyDescent="0.35">
      <c r="A28" s="41" t="str">
        <f t="shared" si="7"/>
        <v>NPK-300-R3-GS-4001-K</v>
      </c>
      <c r="B28" s="42" t="str">
        <f t="shared" si="7"/>
        <v xml:space="preserve">SPECIFICATION FOR FAN AND BLOWER </v>
      </c>
      <c r="C28" s="43">
        <f t="shared" ref="C28" ca="1" si="30">IF(ISBLANK(U28),NETWORKDAYS(U25,$W$10),"")</f>
        <v>31831</v>
      </c>
      <c r="D28" s="44"/>
      <c r="E28" s="79"/>
      <c r="F28" s="131"/>
      <c r="G28" s="128"/>
      <c r="H28" s="125"/>
      <c r="I28" s="128"/>
      <c r="J28" s="63" t="s">
        <v>18</v>
      </c>
      <c r="K28" s="71">
        <v>44046</v>
      </c>
      <c r="L28" s="45"/>
      <c r="M28" s="71">
        <v>44049</v>
      </c>
      <c r="N28" s="45"/>
      <c r="O28" s="71"/>
      <c r="P28" s="45"/>
      <c r="Q28" s="71"/>
      <c r="R28" s="45"/>
      <c r="S28" s="71"/>
      <c r="T28" s="45"/>
      <c r="U28" s="68"/>
      <c r="V28" s="45"/>
      <c r="W28" s="123"/>
      <c r="X28" s="122"/>
      <c r="Y28" s="122"/>
      <c r="Z28" s="122"/>
      <c r="AA28" s="99"/>
      <c r="AD28" s="13"/>
      <c r="AF28" s="12"/>
      <c r="AJ28" s="13"/>
      <c r="AL28" s="12"/>
    </row>
    <row r="29" spans="1:38" s="11" customFormat="1" ht="15" customHeight="1" thickBot="1" x14ac:dyDescent="0.35">
      <c r="A29" s="39"/>
      <c r="B29" s="21"/>
      <c r="C29" s="22"/>
      <c r="D29" s="40"/>
      <c r="E29" s="22"/>
      <c r="F29" s="132"/>
      <c r="G29" s="129"/>
      <c r="H29" s="126"/>
      <c r="I29" s="129"/>
      <c r="J29" s="63" t="s">
        <v>53</v>
      </c>
      <c r="K29" s="66">
        <f t="shared" ref="K29" si="31">IF(NOT(ISBLANK(M25)),NETWORKDAYS(K28,M25),"")</f>
        <v>1</v>
      </c>
      <c r="L29" s="73" t="str">
        <f t="shared" ref="L29" si="32">IF(K27="APPROVED","",E23)</f>
        <v/>
      </c>
      <c r="M29" s="66" t="str">
        <f t="shared" ref="M29" si="33">IF(NOT(ISBLANK(O25)),NETWORKDAYS(M28,O25),"")</f>
        <v/>
      </c>
      <c r="N29" s="73" t="str">
        <f t="shared" ref="N29" si="34">IF(M27="APPROVED","",E24)</f>
        <v/>
      </c>
      <c r="O29" s="66" t="str">
        <f t="shared" ref="O29" si="35">IF(NOT(ISBLANK(Q25)),NETWORKDAYS(O28,Q25),"")</f>
        <v/>
      </c>
      <c r="P29" s="73" t="str">
        <f t="shared" ref="P29" si="36">IF(O27="APPROVED","",E25)</f>
        <v/>
      </c>
      <c r="Q29" s="66" t="str">
        <f t="shared" ref="Q29" si="37">IF(NOT(ISBLANK(S25)),NETWORKDAYS(Q28,$W$10),"")</f>
        <v/>
      </c>
      <c r="R29" s="73" t="str">
        <f t="shared" ref="R29" si="38">IF(Q27="APPROVED","",E26)</f>
        <v/>
      </c>
      <c r="S29" s="65" t="str">
        <f t="shared" ref="S29" si="39">IF(U25="","",NETWORKDAYS(S28,U25))</f>
        <v/>
      </c>
      <c r="T29" s="67" t="str">
        <f t="shared" ref="T29" si="40">IF(AND(NOT(ISBLANK(S28)),ISBLANK(U25)),E27,"")</f>
        <v/>
      </c>
      <c r="U29" s="76"/>
      <c r="V29" s="77" t="str">
        <f>IF(AND(NOT(ISBLANK(U28)),ISBLANK(U29)),#REF!,"")</f>
        <v/>
      </c>
      <c r="W29" s="58"/>
      <c r="X29" s="58"/>
      <c r="Y29" s="58"/>
      <c r="Z29" s="58"/>
      <c r="AA29" s="58"/>
      <c r="AD29" s="13"/>
      <c r="AF29" s="12"/>
      <c r="AJ29" s="13"/>
      <c r="AL29" s="12"/>
    </row>
    <row r="30" spans="1:38" s="11" customFormat="1" ht="15" customHeight="1" x14ac:dyDescent="0.3">
      <c r="A30" s="36" t="str">
        <f t="shared" ref="A30:B30" si="41">_xlfn.CONCAT(G30)</f>
        <v>NPK-300-R7-GS-4001-K</v>
      </c>
      <c r="B30" s="37" t="str">
        <f t="shared" si="41"/>
        <v xml:space="preserve">SPECIFICATION FOR CRUSHER </v>
      </c>
      <c r="C30" s="38" t="str">
        <f t="shared" ref="C30" si="42">IF(ISBLANK(K35),NETWORKDAYS(K32,$W$10),"")</f>
        <v/>
      </c>
      <c r="D30" s="72" t="str">
        <f t="shared" ref="D30" ca="1" si="43">IFERROR(LOOKUP($W$10,K35:V35,K34:V34),"")</f>
        <v>APPROVED WITH COMMENT</v>
      </c>
      <c r="E30" s="72" t="str">
        <f t="shared" ref="E30" si="44">IF(AND(NOT(ISBLANK(K35)),ISBLANK(M32)),NETWORKDAYS(K35,$W$10),"")</f>
        <v/>
      </c>
      <c r="F30" s="130">
        <v>3</v>
      </c>
      <c r="G30" s="127" t="s">
        <v>71</v>
      </c>
      <c r="H30" s="124" t="s">
        <v>72</v>
      </c>
      <c r="I30" s="127" t="s">
        <v>31</v>
      </c>
      <c r="J30" s="63" t="s">
        <v>16</v>
      </c>
      <c r="K30" s="84" t="s">
        <v>80</v>
      </c>
      <c r="L30" s="49"/>
      <c r="M30" s="84" t="s">
        <v>81</v>
      </c>
      <c r="N30" s="49"/>
      <c r="O30" s="55"/>
      <c r="P30" s="49"/>
      <c r="Q30" s="55"/>
      <c r="R30" s="49"/>
      <c r="S30" s="55"/>
      <c r="T30" s="49"/>
      <c r="U30" s="55"/>
      <c r="V30" s="49"/>
      <c r="W30" s="80"/>
      <c r="X30" s="80"/>
      <c r="Y30" s="80"/>
      <c r="Z30" s="80"/>
      <c r="AA30" s="85" t="str">
        <f t="shared" ref="AA30" si="45">L36</f>
        <v/>
      </c>
      <c r="AF30" s="12"/>
      <c r="AL30" s="12"/>
    </row>
    <row r="31" spans="1:38" s="11" customFormat="1" ht="15" customHeight="1" x14ac:dyDescent="0.3">
      <c r="A31" s="39" t="str">
        <f t="shared" ref="A31:B31" si="46">A30</f>
        <v>NPK-300-R7-GS-4001-K</v>
      </c>
      <c r="B31" s="21" t="str">
        <f t="shared" si="46"/>
        <v xml:space="preserve">SPECIFICATION FOR CRUSHER </v>
      </c>
      <c r="C31" s="22">
        <f t="shared" ref="C31" ca="1" si="47">IF(ISBLANK(M35),NETWORKDAYS(M32,$W$10),"")</f>
        <v>371</v>
      </c>
      <c r="D31" s="40"/>
      <c r="E31" s="78" t="str">
        <f>IF(AND(NOT(ISBLANK(M35)),ISBLANK(O32)),NETWORKDAYS(M35,$W$10),"")</f>
        <v/>
      </c>
      <c r="F31" s="131"/>
      <c r="G31" s="128"/>
      <c r="H31" s="125"/>
      <c r="I31" s="128"/>
      <c r="J31" s="63" t="s">
        <v>17</v>
      </c>
      <c r="K31" s="55" t="s">
        <v>28</v>
      </c>
      <c r="L31" s="49"/>
      <c r="M31" s="55" t="s">
        <v>32</v>
      </c>
      <c r="N31" s="49"/>
      <c r="O31" s="55"/>
      <c r="P31" s="49"/>
      <c r="Q31" s="55"/>
      <c r="R31" s="49"/>
      <c r="S31" s="55"/>
      <c r="T31" s="49"/>
      <c r="U31" s="55"/>
      <c r="V31" s="49"/>
      <c r="W31" s="123" t="str">
        <f t="shared" ref="W31" ca="1" si="48">IF(D30="APPROVED",1,"")</f>
        <v/>
      </c>
      <c r="X31" s="122">
        <f t="shared" ref="X31" ca="1" si="49">IF(D30="APPROVED WITH COMMENT",1,"")</f>
        <v>1</v>
      </c>
      <c r="Y31" s="122" t="str">
        <f t="shared" ref="Y31" ca="1" si="50">IF(D30="NOT APPROVED",1,"")</f>
        <v/>
      </c>
      <c r="Z31" s="122" t="str">
        <f t="shared" ref="Z31" ca="1" si="51">IF(D30="INFORMATION",1,"")</f>
        <v/>
      </c>
      <c r="AA31" s="99" t="str">
        <f t="shared" ref="AA31" si="52">N36</f>
        <v/>
      </c>
      <c r="AD31" s="13"/>
      <c r="AF31" s="12"/>
      <c r="AJ31" s="13"/>
      <c r="AL31" s="12"/>
    </row>
    <row r="32" spans="1:38" s="11" customFormat="1" ht="15" customHeight="1" x14ac:dyDescent="0.3">
      <c r="A32" s="39" t="str">
        <f t="shared" si="7"/>
        <v>NPK-300-R7-GS-4001-K</v>
      </c>
      <c r="B32" s="21" t="str">
        <f t="shared" si="7"/>
        <v xml:space="preserve">SPECIFICATION FOR CRUSHER </v>
      </c>
      <c r="C32" s="22">
        <f t="shared" ref="C32" ca="1" si="53">IF(ISBLANK(O35),NETWORKDAYS(O32,$W$10),"")</f>
        <v>31831</v>
      </c>
      <c r="D32" s="40"/>
      <c r="E32" s="78" t="str">
        <f t="shared" ref="E32" si="54">IF(AND(NOT(ISBLANK(O35)),ISBLANK(Q32)),NETWORKDAYS(O35,$W$10),"")</f>
        <v/>
      </c>
      <c r="F32" s="131"/>
      <c r="G32" s="128"/>
      <c r="H32" s="125"/>
      <c r="I32" s="128"/>
      <c r="J32" s="63" t="s">
        <v>18</v>
      </c>
      <c r="K32" s="53">
        <v>44044</v>
      </c>
      <c r="L32" s="45" t="str">
        <f t="shared" ref="L32" si="55">IF(AND(K32="",K35=""),"",C30)</f>
        <v/>
      </c>
      <c r="M32" s="53">
        <v>44046</v>
      </c>
      <c r="N32" s="45">
        <f ca="1">IF(AND(M32="",M35=""),"",C31)</f>
        <v>371</v>
      </c>
      <c r="O32" s="53"/>
      <c r="P32" s="45" t="str">
        <f t="shared" ref="P32" si="56">IF(AND(O32="",O35=""),"",C32)</f>
        <v/>
      </c>
      <c r="Q32" s="53"/>
      <c r="R32" s="45" t="str">
        <f t="shared" ref="R32" si="57">IF(AND(Q32="",Q35=""),"",C33)</f>
        <v/>
      </c>
      <c r="S32" s="53"/>
      <c r="T32" s="45" t="str">
        <f t="shared" ref="T32" si="58">IF(AND(S32="",S35=""),"",C34)</f>
        <v/>
      </c>
      <c r="U32" s="53"/>
      <c r="V32" s="45" t="str">
        <f t="shared" ref="V32" si="59">IF(AND(U32="",U35=""),"",C35)</f>
        <v/>
      </c>
      <c r="W32" s="123"/>
      <c r="X32" s="122"/>
      <c r="Y32" s="122"/>
      <c r="Z32" s="122"/>
      <c r="AA32" s="99" t="str">
        <f t="shared" ref="AA32" si="60">P36</f>
        <v/>
      </c>
      <c r="AD32" s="13"/>
      <c r="AF32" s="12"/>
      <c r="AJ32" s="13"/>
      <c r="AL32" s="12"/>
    </row>
    <row r="33" spans="1:38" s="11" customFormat="1" ht="15" customHeight="1" x14ac:dyDescent="0.3">
      <c r="A33" s="39" t="str">
        <f t="shared" si="7"/>
        <v>NPK-300-R7-GS-4001-K</v>
      </c>
      <c r="B33" s="21" t="str">
        <f t="shared" si="7"/>
        <v xml:space="preserve">SPECIFICATION FOR CRUSHER </v>
      </c>
      <c r="C33" s="22">
        <f t="shared" ref="C33" ca="1" si="61">IF(ISBLANK(Q35),NETWORKDAYS(Q32,$W$10),"")</f>
        <v>31831</v>
      </c>
      <c r="D33" s="40"/>
      <c r="E33" s="78" t="str">
        <f t="shared" ref="E33" si="62">IF(AND(NOT(ISBLANK(Q35)),ISBLANK(S32)),NETWORKDAYS(Q35,$W$10),"")</f>
        <v/>
      </c>
      <c r="F33" s="131"/>
      <c r="G33" s="128"/>
      <c r="H33" s="125"/>
      <c r="I33" s="128"/>
      <c r="J33" s="63" t="s">
        <v>19</v>
      </c>
      <c r="K33" s="70" t="s">
        <v>51</v>
      </c>
      <c r="L33" s="49"/>
      <c r="M33" s="70"/>
      <c r="N33" s="49"/>
      <c r="O33" s="70"/>
      <c r="P33" s="49"/>
      <c r="Q33" s="70"/>
      <c r="R33" s="49"/>
      <c r="S33" s="70"/>
      <c r="T33" s="49"/>
      <c r="U33" s="70"/>
      <c r="V33" s="49"/>
      <c r="W33" s="123"/>
      <c r="X33" s="122"/>
      <c r="Y33" s="122"/>
      <c r="Z33" s="122"/>
      <c r="AA33" s="99" t="str">
        <f t="shared" ref="AA33" si="63">R36</f>
        <v/>
      </c>
      <c r="AD33" s="13"/>
      <c r="AF33" s="12"/>
      <c r="AJ33" s="13"/>
      <c r="AL33" s="12"/>
    </row>
    <row r="34" spans="1:38" s="11" customFormat="1" ht="15" customHeight="1" x14ac:dyDescent="0.3">
      <c r="A34" s="39" t="str">
        <f t="shared" si="7"/>
        <v>NPK-300-R7-GS-4001-K</v>
      </c>
      <c r="B34" s="21" t="str">
        <f t="shared" si="7"/>
        <v xml:space="preserve">SPECIFICATION FOR CRUSHER </v>
      </c>
      <c r="C34" s="22">
        <f t="shared" ref="C34" ca="1" si="64">IF(ISBLANK(S35),NETWORKDAYS(S32,$W$10),"")</f>
        <v>31831</v>
      </c>
      <c r="D34" s="40"/>
      <c r="E34" s="78" t="str">
        <f t="shared" ref="E34" si="65">IF(AND(NOT(ISBLANK(S35)),ISBLANK(U32)),NETWORKDAYS(S35,$W$10),"")</f>
        <v/>
      </c>
      <c r="F34" s="131"/>
      <c r="G34" s="128"/>
      <c r="H34" s="125"/>
      <c r="I34" s="128"/>
      <c r="J34" s="64" t="s">
        <v>20</v>
      </c>
      <c r="K34" s="70" t="s">
        <v>35</v>
      </c>
      <c r="L34" s="49"/>
      <c r="M34" s="70"/>
      <c r="N34" s="49"/>
      <c r="O34" s="70"/>
      <c r="P34" s="49"/>
      <c r="Q34" s="70"/>
      <c r="R34" s="49"/>
      <c r="S34" s="70"/>
      <c r="T34" s="49"/>
      <c r="U34" s="70"/>
      <c r="V34" s="49"/>
      <c r="W34" s="123"/>
      <c r="X34" s="122"/>
      <c r="Y34" s="122"/>
      <c r="Z34" s="122"/>
      <c r="AA34" s="99" t="str">
        <f t="shared" ref="AA34" si="66">T36</f>
        <v/>
      </c>
      <c r="AD34" s="13"/>
      <c r="AF34" s="12"/>
      <c r="AJ34" s="13"/>
      <c r="AL34" s="12"/>
    </row>
    <row r="35" spans="1:38" s="11" customFormat="1" ht="15" customHeight="1" thickBot="1" x14ac:dyDescent="0.35">
      <c r="A35" s="41" t="str">
        <f t="shared" si="7"/>
        <v>NPK-300-R7-GS-4001-K</v>
      </c>
      <c r="B35" s="42" t="str">
        <f t="shared" si="7"/>
        <v xml:space="preserve">SPECIFICATION FOR CRUSHER </v>
      </c>
      <c r="C35" s="43">
        <f t="shared" ref="C35" ca="1" si="67">IF(ISBLANK(U35),NETWORKDAYS(U32,$W$10),"")</f>
        <v>31831</v>
      </c>
      <c r="D35" s="44"/>
      <c r="E35" s="79"/>
      <c r="F35" s="131"/>
      <c r="G35" s="128"/>
      <c r="H35" s="125"/>
      <c r="I35" s="128"/>
      <c r="J35" s="63" t="s">
        <v>18</v>
      </c>
      <c r="K35" s="71">
        <v>44046</v>
      </c>
      <c r="L35" s="45"/>
      <c r="M35" s="71"/>
      <c r="N35" s="45"/>
      <c r="O35" s="71"/>
      <c r="P35" s="45"/>
      <c r="Q35" s="71"/>
      <c r="R35" s="45"/>
      <c r="S35" s="71"/>
      <c r="T35" s="45"/>
      <c r="U35" s="71"/>
      <c r="V35" s="45"/>
      <c r="W35" s="123"/>
      <c r="X35" s="122"/>
      <c r="Y35" s="122"/>
      <c r="Z35" s="122"/>
      <c r="AA35" s="99"/>
      <c r="AD35" s="13"/>
      <c r="AF35" s="12"/>
      <c r="AJ35" s="13"/>
      <c r="AL35" s="12"/>
    </row>
    <row r="36" spans="1:38" s="11" customFormat="1" ht="15" customHeight="1" thickBot="1" x14ac:dyDescent="0.35">
      <c r="A36" s="39"/>
      <c r="B36" s="21"/>
      <c r="C36" s="22"/>
      <c r="D36" s="40"/>
      <c r="E36" s="22"/>
      <c r="F36" s="132"/>
      <c r="G36" s="128"/>
      <c r="H36" s="125"/>
      <c r="I36" s="129"/>
      <c r="J36" s="63" t="s">
        <v>53</v>
      </c>
      <c r="K36" s="66">
        <f t="shared" ref="K36" si="68">IF(NOT(ISBLANK(M32)),NETWORKDAYS(K35,M32),"")</f>
        <v>1</v>
      </c>
      <c r="L36" s="73" t="str">
        <f t="shared" ref="L36" si="69">IF(K34="APPROVED","",E30)</f>
        <v/>
      </c>
      <c r="M36" s="66" t="str">
        <f t="shared" ref="M36" si="70">IF(NOT(ISBLANK(O32)),NETWORKDAYS(M35,O32),"")</f>
        <v/>
      </c>
      <c r="N36" s="73" t="str">
        <f>IF(M34="APPROVED","",E31)</f>
        <v/>
      </c>
      <c r="O36" s="66" t="str">
        <f t="shared" ref="O36" si="71">IF(NOT(ISBLANK(Q32)),NETWORKDAYS(O35,Q32),"")</f>
        <v/>
      </c>
      <c r="P36" s="73" t="str">
        <f t="shared" ref="P36" si="72">IF(O34="APPROVED","",E32)</f>
        <v/>
      </c>
      <c r="Q36" s="66" t="str">
        <f t="shared" ref="Q36" si="73">IF(NOT(ISBLANK(S32)),NETWORKDAYS(Q35,$W$10),"")</f>
        <v/>
      </c>
      <c r="R36" s="73" t="str">
        <f t="shared" ref="R36" si="74">IF(Q34="APPROVED","",E33)</f>
        <v/>
      </c>
      <c r="S36" s="65" t="str">
        <f t="shared" ref="S36" si="75">IF(U32="","",NETWORKDAYS(S35,U32))</f>
        <v/>
      </c>
      <c r="T36" s="67" t="str">
        <f t="shared" ref="T36" si="76">IF(AND(NOT(ISBLANK(S35)),ISBLANK(U32)),E34,"")</f>
        <v/>
      </c>
      <c r="U36" s="76"/>
      <c r="V36" s="77" t="str">
        <f>IF(AND(NOT(ISBLANK(U35)),ISBLANK(U36)),#REF!,"")</f>
        <v/>
      </c>
      <c r="W36" s="58"/>
      <c r="X36" s="58"/>
      <c r="Y36" s="58"/>
      <c r="Z36" s="58"/>
      <c r="AA36" s="58"/>
      <c r="AD36" s="13"/>
      <c r="AF36" s="12"/>
      <c r="AJ36" s="13"/>
      <c r="AL36" s="12"/>
    </row>
    <row r="37" spans="1:38" s="11" customFormat="1" ht="15" customHeight="1" x14ac:dyDescent="0.3">
      <c r="A37" s="36" t="str">
        <f t="shared" ref="A37:B37" si="77">_xlfn.CONCAT(G37)</f>
        <v>NPK-700-T3-DS-TK701-K</v>
      </c>
      <c r="B37" s="37" t="str">
        <f t="shared" si="77"/>
        <v>MECHANICAL DATA SHEET PHOSPORIC ACID STORAGE TANK (81-TK-701 A/B)</v>
      </c>
      <c r="C37" s="38" t="str">
        <f t="shared" ref="C37" si="78">IF(ISBLANK(K42),NETWORKDAYS(K39,$W$10),"")</f>
        <v/>
      </c>
      <c r="D37" s="72" t="str">
        <f t="shared" ref="D37" ca="1" si="79">IFERROR(LOOKUP($W$10,K42:V42,K41:V41),"")</f>
        <v>NOT APPROVED</v>
      </c>
      <c r="E37" s="72" t="str">
        <f t="shared" ref="E37" si="80">IF(AND(NOT(ISBLANK(K42)),ISBLANK(M39)),NETWORKDAYS(K42,$W$10),"")</f>
        <v/>
      </c>
      <c r="F37" s="130">
        <v>4</v>
      </c>
      <c r="G37" s="167" t="s">
        <v>73</v>
      </c>
      <c r="H37" s="168" t="s">
        <v>74</v>
      </c>
      <c r="I37" s="127" t="s">
        <v>31</v>
      </c>
      <c r="J37" s="63" t="s">
        <v>16</v>
      </c>
      <c r="K37" s="84" t="s">
        <v>80</v>
      </c>
      <c r="L37" s="49"/>
      <c r="M37" s="84" t="s">
        <v>81</v>
      </c>
      <c r="N37" s="49"/>
      <c r="O37" s="84" t="s">
        <v>82</v>
      </c>
      <c r="P37" s="49"/>
      <c r="Q37" s="55"/>
      <c r="R37" s="49"/>
      <c r="S37" s="55"/>
      <c r="T37" s="49"/>
      <c r="U37" s="55"/>
      <c r="V37" s="49"/>
      <c r="W37" s="80"/>
      <c r="X37" s="80"/>
      <c r="Y37" s="80"/>
      <c r="Z37" s="80"/>
      <c r="AA37" s="85" t="str">
        <f t="shared" ref="AA37" si="81">L43</f>
        <v/>
      </c>
      <c r="AD37" s="13"/>
      <c r="AF37" s="12"/>
      <c r="AJ37" s="13"/>
      <c r="AL37" s="12"/>
    </row>
    <row r="38" spans="1:38" s="11" customFormat="1" ht="15" customHeight="1" x14ac:dyDescent="0.3">
      <c r="A38" s="39" t="str">
        <f t="shared" ref="A38:B38" si="82">A37</f>
        <v>NPK-700-T3-DS-TK701-K</v>
      </c>
      <c r="B38" s="21" t="str">
        <f t="shared" si="82"/>
        <v>MECHANICAL DATA SHEET PHOSPORIC ACID STORAGE TANK (81-TK-701 A/B)</v>
      </c>
      <c r="C38" s="22" t="str">
        <f t="shared" ref="C38" si="83">IF(ISBLANK(M42),NETWORKDAYS(M39,$W$10),"")</f>
        <v/>
      </c>
      <c r="D38" s="40"/>
      <c r="E38" s="78" t="str">
        <f t="shared" ref="E38" si="84">IF(AND(NOT(ISBLANK(M42)),ISBLANK(O39)),NETWORKDAYS(M42,$W$10),"")</f>
        <v/>
      </c>
      <c r="F38" s="131"/>
      <c r="G38" s="167"/>
      <c r="H38" s="168"/>
      <c r="I38" s="128"/>
      <c r="J38" s="63" t="s">
        <v>17</v>
      </c>
      <c r="K38" s="55" t="s">
        <v>28</v>
      </c>
      <c r="L38" s="49"/>
      <c r="M38" s="55" t="s">
        <v>32</v>
      </c>
      <c r="N38" s="49"/>
      <c r="O38" s="55" t="s">
        <v>32</v>
      </c>
      <c r="P38" s="49"/>
      <c r="Q38" s="55"/>
      <c r="R38" s="49"/>
      <c r="S38" s="55"/>
      <c r="T38" s="49"/>
      <c r="U38" s="55"/>
      <c r="V38" s="49"/>
      <c r="W38" s="123" t="str">
        <f t="shared" ref="W38" ca="1" si="85">IF(D37="APPROVED",1,"")</f>
        <v/>
      </c>
      <c r="X38" s="122" t="str">
        <f t="shared" ref="X38" ca="1" si="86">IF(D37="APPROVED WITH COMMENT",1,"")</f>
        <v/>
      </c>
      <c r="Y38" s="122">
        <f t="shared" ref="Y38" ca="1" si="87">IF(D37="NOT APPROVED",1,"")</f>
        <v>1</v>
      </c>
      <c r="Z38" s="122" t="str">
        <f t="shared" ref="Z38" ca="1" si="88">IF(D37="INFORMATION",1,"")</f>
        <v/>
      </c>
      <c r="AA38" s="99" t="str">
        <f t="shared" ref="AA38" si="89">N43</f>
        <v/>
      </c>
      <c r="AD38" s="13"/>
      <c r="AF38" s="12"/>
      <c r="AJ38" s="13"/>
      <c r="AL38" s="12"/>
    </row>
    <row r="39" spans="1:38" s="11" customFormat="1" ht="15" customHeight="1" x14ac:dyDescent="0.3">
      <c r="A39" s="39" t="str">
        <f t="shared" si="7"/>
        <v>NPK-700-T3-DS-TK701-K</v>
      </c>
      <c r="B39" s="21" t="str">
        <f t="shared" si="7"/>
        <v>MECHANICAL DATA SHEET PHOSPORIC ACID STORAGE TANK (81-TK-701 A/B)</v>
      </c>
      <c r="C39" s="22" t="str">
        <f t="shared" ref="C39" si="90">IF(ISBLANK(O42),NETWORKDAYS(O39,$W$10),"")</f>
        <v/>
      </c>
      <c r="D39" s="40"/>
      <c r="E39" s="78">
        <f t="shared" ref="E39" ca="1" si="91">IF(AND(NOT(ISBLANK(O42)),ISBLANK(Q39)),NETWORKDAYS(O42,$W$10),"")</f>
        <v>366</v>
      </c>
      <c r="F39" s="131"/>
      <c r="G39" s="167"/>
      <c r="H39" s="168"/>
      <c r="I39" s="128"/>
      <c r="J39" s="63" t="s">
        <v>18</v>
      </c>
      <c r="K39" s="53">
        <v>44044</v>
      </c>
      <c r="L39" s="45" t="str">
        <f t="shared" ref="L39" si="92">IF(AND(K39="",K42=""),"",C37)</f>
        <v/>
      </c>
      <c r="M39" s="53">
        <v>44046</v>
      </c>
      <c r="N39" s="45" t="str">
        <f t="shared" ref="N39" si="93">IF(AND(M39="",M42=""),"",C38)</f>
        <v/>
      </c>
      <c r="O39" s="53">
        <v>44051</v>
      </c>
      <c r="P39" s="45" t="str">
        <f t="shared" ref="P39" si="94">IF(AND(O39="",O42=""),"",C39)</f>
        <v/>
      </c>
      <c r="Q39" s="53"/>
      <c r="R39" s="45" t="str">
        <f t="shared" ref="R39" si="95">IF(AND(Q39="",Q42=""),"",C40)</f>
        <v/>
      </c>
      <c r="S39" s="53"/>
      <c r="T39" s="45" t="str">
        <f t="shared" ref="T39" si="96">IF(AND(S39="",S42=""),"",C41)</f>
        <v/>
      </c>
      <c r="U39" s="53"/>
      <c r="V39" s="45" t="str">
        <f t="shared" ref="V39" si="97">IF(AND(U39="",U42=""),"",C42)</f>
        <v/>
      </c>
      <c r="W39" s="123"/>
      <c r="X39" s="122"/>
      <c r="Y39" s="122"/>
      <c r="Z39" s="122"/>
      <c r="AA39" s="99">
        <f t="shared" ref="AA39" ca="1" si="98">P43</f>
        <v>366</v>
      </c>
      <c r="AD39" s="13"/>
      <c r="AF39" s="12"/>
      <c r="AJ39" s="13"/>
      <c r="AL39" s="12"/>
    </row>
    <row r="40" spans="1:38" s="11" customFormat="1" ht="15" customHeight="1" x14ac:dyDescent="0.3">
      <c r="A40" s="39" t="str">
        <f t="shared" si="7"/>
        <v>NPK-700-T3-DS-TK701-K</v>
      </c>
      <c r="B40" s="21" t="str">
        <f t="shared" si="7"/>
        <v>MECHANICAL DATA SHEET PHOSPORIC ACID STORAGE TANK (81-TK-701 A/B)</v>
      </c>
      <c r="C40" s="22">
        <f t="shared" ref="C40" ca="1" si="99">IF(ISBLANK(Q42),NETWORKDAYS(Q39,$W$10),"")</f>
        <v>31831</v>
      </c>
      <c r="D40" s="40"/>
      <c r="E40" s="78" t="str">
        <f t="shared" ref="E40" si="100">IF(AND(NOT(ISBLANK(Q42)),ISBLANK(S39)),NETWORKDAYS(Q42,$W$10),"")</f>
        <v/>
      </c>
      <c r="F40" s="131"/>
      <c r="G40" s="167"/>
      <c r="H40" s="168"/>
      <c r="I40" s="128"/>
      <c r="J40" s="63" t="s">
        <v>19</v>
      </c>
      <c r="K40" s="70" t="s">
        <v>51</v>
      </c>
      <c r="L40" s="49"/>
      <c r="M40" s="70" t="s">
        <v>54</v>
      </c>
      <c r="N40" s="49"/>
      <c r="O40" s="70" t="s">
        <v>55</v>
      </c>
      <c r="P40" s="49"/>
      <c r="Q40" s="70"/>
      <c r="R40" s="49"/>
      <c r="S40" s="70"/>
      <c r="T40" s="49"/>
      <c r="U40" s="70"/>
      <c r="V40" s="49"/>
      <c r="W40" s="123"/>
      <c r="X40" s="122"/>
      <c r="Y40" s="122"/>
      <c r="Z40" s="122"/>
      <c r="AA40" s="99" t="str">
        <f t="shared" ref="AA40" si="101">R43</f>
        <v/>
      </c>
      <c r="AD40" s="13"/>
      <c r="AF40" s="12"/>
      <c r="AJ40" s="13"/>
      <c r="AL40" s="12"/>
    </row>
    <row r="41" spans="1:38" s="11" customFormat="1" ht="15" customHeight="1" x14ac:dyDescent="0.3">
      <c r="A41" s="39" t="str">
        <f t="shared" si="7"/>
        <v>NPK-700-T3-DS-TK701-K</v>
      </c>
      <c r="B41" s="21" t="str">
        <f t="shared" si="7"/>
        <v>MECHANICAL DATA SHEET PHOSPORIC ACID STORAGE TANK (81-TK-701 A/B)</v>
      </c>
      <c r="C41" s="22">
        <f t="shared" ref="C41" ca="1" si="102">IF(ISBLANK(S42),NETWORKDAYS(S39,$W$10),"")</f>
        <v>31831</v>
      </c>
      <c r="D41" s="40"/>
      <c r="E41" s="78" t="str">
        <f t="shared" ref="E41" si="103">IF(AND(NOT(ISBLANK(S42)),ISBLANK(U39)),NETWORKDAYS(S42,$W$10),"")</f>
        <v/>
      </c>
      <c r="F41" s="131"/>
      <c r="G41" s="167"/>
      <c r="H41" s="168"/>
      <c r="I41" s="128"/>
      <c r="J41" s="64" t="s">
        <v>20</v>
      </c>
      <c r="K41" s="70" t="s">
        <v>35</v>
      </c>
      <c r="L41" s="49"/>
      <c r="M41" s="70" t="s">
        <v>35</v>
      </c>
      <c r="N41" s="49"/>
      <c r="O41" s="70" t="s">
        <v>27</v>
      </c>
      <c r="P41" s="49"/>
      <c r="Q41" s="70"/>
      <c r="R41" s="49"/>
      <c r="S41" s="70"/>
      <c r="T41" s="49"/>
      <c r="U41" s="70"/>
      <c r="V41" s="49"/>
      <c r="W41" s="123"/>
      <c r="X41" s="122"/>
      <c r="Y41" s="122"/>
      <c r="Z41" s="122"/>
      <c r="AA41" s="99" t="str">
        <f t="shared" ref="AA41" si="104">T43</f>
        <v/>
      </c>
      <c r="AD41" s="13"/>
      <c r="AF41" s="12"/>
      <c r="AJ41" s="13"/>
      <c r="AL41" s="12"/>
    </row>
    <row r="42" spans="1:38" s="11" customFormat="1" ht="15" customHeight="1" thickBot="1" x14ac:dyDescent="0.35">
      <c r="A42" s="41" t="str">
        <f t="shared" si="7"/>
        <v>NPK-700-T3-DS-TK701-K</v>
      </c>
      <c r="B42" s="42" t="str">
        <f t="shared" si="7"/>
        <v>MECHANICAL DATA SHEET PHOSPORIC ACID STORAGE TANK (81-TK-701 A/B)</v>
      </c>
      <c r="C42" s="43">
        <f t="shared" ref="C42" ca="1" si="105">IF(ISBLANK(U42),NETWORKDAYS(U39,$W$10),"")</f>
        <v>31831</v>
      </c>
      <c r="D42" s="44"/>
      <c r="E42" s="79"/>
      <c r="F42" s="131"/>
      <c r="G42" s="167"/>
      <c r="H42" s="168"/>
      <c r="I42" s="128"/>
      <c r="J42" s="63" t="s">
        <v>18</v>
      </c>
      <c r="K42" s="71">
        <v>44046</v>
      </c>
      <c r="L42" s="45"/>
      <c r="M42" s="71">
        <v>44049</v>
      </c>
      <c r="N42" s="45"/>
      <c r="O42" s="71">
        <v>44053</v>
      </c>
      <c r="P42" s="45"/>
      <c r="Q42" s="71"/>
      <c r="R42" s="45"/>
      <c r="S42" s="71"/>
      <c r="T42" s="45"/>
      <c r="U42" s="68"/>
      <c r="V42" s="45"/>
      <c r="W42" s="123"/>
      <c r="X42" s="122"/>
      <c r="Y42" s="122"/>
      <c r="Z42" s="122"/>
      <c r="AA42" s="99"/>
      <c r="AD42" s="13"/>
      <c r="AF42" s="12"/>
      <c r="AJ42" s="13"/>
      <c r="AL42" s="12"/>
    </row>
    <row r="43" spans="1:38" s="11" customFormat="1" ht="15" customHeight="1" thickBot="1" x14ac:dyDescent="0.35">
      <c r="A43" s="39"/>
      <c r="B43" s="21"/>
      <c r="C43" s="22"/>
      <c r="D43" s="40"/>
      <c r="E43" s="22"/>
      <c r="F43" s="132"/>
      <c r="G43" s="167"/>
      <c r="H43" s="168"/>
      <c r="I43" s="129"/>
      <c r="J43" s="63" t="s">
        <v>53</v>
      </c>
      <c r="K43" s="66">
        <f t="shared" ref="K43" si="106">IF(NOT(ISBLANK(M39)),NETWORKDAYS(K42,M39),"")</f>
        <v>1</v>
      </c>
      <c r="L43" s="73" t="str">
        <f t="shared" ref="L43" si="107">IF(K41="APPROVED","",E37)</f>
        <v/>
      </c>
      <c r="M43" s="66">
        <f t="shared" ref="M43" si="108">IF(NOT(ISBLANK(O39)),NETWORKDAYS(M42,O39),"")</f>
        <v>2</v>
      </c>
      <c r="N43" s="73" t="str">
        <f t="shared" ref="N43" si="109">IF(M41="APPROVED","",E38)</f>
        <v/>
      </c>
      <c r="O43" s="66" t="str">
        <f t="shared" ref="O43" si="110">IF(NOT(ISBLANK(Q39)),NETWORKDAYS(O42,Q39),"")</f>
        <v/>
      </c>
      <c r="P43" s="73">
        <f t="shared" ref="P43" ca="1" si="111">IF(O41="APPROVED","",E39)</f>
        <v>366</v>
      </c>
      <c r="Q43" s="66" t="str">
        <f t="shared" ref="Q43" si="112">IF(NOT(ISBLANK(S39)),NETWORKDAYS(Q42,$W$10),"")</f>
        <v/>
      </c>
      <c r="R43" s="73" t="str">
        <f t="shared" ref="R43" si="113">IF(Q41="APPROVED","",E40)</f>
        <v/>
      </c>
      <c r="S43" s="65" t="str">
        <f t="shared" ref="S43" si="114">IF(U39="","",NETWORKDAYS(S42,U39))</f>
        <v/>
      </c>
      <c r="T43" s="67" t="str">
        <f t="shared" ref="T43" si="115">IF(AND(NOT(ISBLANK(S42)),ISBLANK(U39)),E41,"")</f>
        <v/>
      </c>
      <c r="U43" s="76"/>
      <c r="V43" s="77" t="str">
        <f>IF(AND(NOT(ISBLANK(U42)),ISBLANK(U43)),#REF!,"")</f>
        <v/>
      </c>
      <c r="W43" s="58"/>
      <c r="X43" s="58"/>
      <c r="Y43" s="58"/>
      <c r="Z43" s="58"/>
      <c r="AA43" s="58"/>
      <c r="AD43" s="13"/>
      <c r="AF43" s="12"/>
      <c r="AJ43" s="13"/>
      <c r="AL43" s="12"/>
    </row>
    <row r="44" spans="1:38" s="11" customFormat="1" ht="15" customHeight="1" x14ac:dyDescent="0.3">
      <c r="A44" s="36" t="str">
        <f t="shared" ref="A44:B44" si="116">_xlfn.CONCAT(G44)</f>
        <v>NPK-800-T2-DS-TK801-K</v>
      </c>
      <c r="B44" s="37" t="str">
        <f t="shared" si="116"/>
        <v>MECHANICAL DATA SHEET SHULPURIC ACID STORAGE TANK (81-TK-801 A/B)</v>
      </c>
      <c r="C44" s="38" t="str">
        <f t="shared" ref="C44" si="117">IF(ISBLANK(K49),NETWORKDAYS(K46,$W$10),"")</f>
        <v/>
      </c>
      <c r="D44" s="72" t="str">
        <f t="shared" ref="D44" ca="1" si="118">IFERROR(LOOKUP($W$10,K49:V49,K48:V48),"")</f>
        <v>NOT APPROVED</v>
      </c>
      <c r="E44" s="72" t="str">
        <f t="shared" ref="E44" si="119">IF(AND(NOT(ISBLANK(K49)),ISBLANK(M46)),NETWORKDAYS(K49,$W$10),"")</f>
        <v/>
      </c>
      <c r="F44" s="130">
        <v>5</v>
      </c>
      <c r="G44" s="169" t="s">
        <v>75</v>
      </c>
      <c r="H44" s="170" t="s">
        <v>76</v>
      </c>
      <c r="I44" s="127" t="s">
        <v>31</v>
      </c>
      <c r="J44" s="63" t="s">
        <v>16</v>
      </c>
      <c r="K44" s="84" t="s">
        <v>80</v>
      </c>
      <c r="L44" s="49"/>
      <c r="M44" s="84" t="s">
        <v>81</v>
      </c>
      <c r="N44" s="49"/>
      <c r="O44" s="84" t="s">
        <v>82</v>
      </c>
      <c r="P44" s="49"/>
      <c r="Q44" s="84" t="s">
        <v>83</v>
      </c>
      <c r="R44" s="49"/>
      <c r="S44" s="55"/>
      <c r="T44" s="49"/>
      <c r="U44" s="55"/>
      <c r="V44" s="49"/>
      <c r="W44" s="80"/>
      <c r="X44" s="80"/>
      <c r="Y44" s="80"/>
      <c r="Z44" s="80"/>
      <c r="AA44" s="85" t="str">
        <f t="shared" ref="AA44" si="120">L50</f>
        <v/>
      </c>
      <c r="AD44" s="13"/>
      <c r="AF44" s="12"/>
      <c r="AJ44" s="13"/>
      <c r="AL44" s="12"/>
    </row>
    <row r="45" spans="1:38" s="11" customFormat="1" ht="15" customHeight="1" x14ac:dyDescent="0.3">
      <c r="A45" s="39" t="str">
        <f t="shared" ref="A45:B45" si="121">A44</f>
        <v>NPK-800-T2-DS-TK801-K</v>
      </c>
      <c r="B45" s="21" t="str">
        <f t="shared" si="121"/>
        <v>MECHANICAL DATA SHEET SHULPURIC ACID STORAGE TANK (81-TK-801 A/B)</v>
      </c>
      <c r="C45" s="22" t="str">
        <f t="shared" ref="C45" si="122">IF(ISBLANK(M49),NETWORKDAYS(M46,$W$10),"")</f>
        <v/>
      </c>
      <c r="D45" s="40"/>
      <c r="E45" s="78" t="str">
        <f t="shared" ref="E45" si="123">IF(AND(NOT(ISBLANK(M49)),ISBLANK(O46)),NETWORKDAYS(M49,$W$10),"")</f>
        <v/>
      </c>
      <c r="F45" s="131"/>
      <c r="G45" s="169"/>
      <c r="H45" s="170"/>
      <c r="I45" s="128"/>
      <c r="J45" s="63" t="s">
        <v>17</v>
      </c>
      <c r="K45" s="55" t="s">
        <v>28</v>
      </c>
      <c r="L45" s="49"/>
      <c r="M45" s="55" t="s">
        <v>32</v>
      </c>
      <c r="N45" s="49"/>
      <c r="O45" s="55" t="s">
        <v>32</v>
      </c>
      <c r="P45" s="49"/>
      <c r="Q45" s="55" t="s">
        <v>28</v>
      </c>
      <c r="R45" s="49"/>
      <c r="S45" s="55"/>
      <c r="T45" s="49"/>
      <c r="U45" s="55"/>
      <c r="V45" s="49"/>
      <c r="W45" s="123" t="str">
        <f t="shared" ref="W45" ca="1" si="124">IF(D44="APPROVED",1,"")</f>
        <v/>
      </c>
      <c r="X45" s="122" t="str">
        <f t="shared" ref="X45" ca="1" si="125">IF(D44="APPROVED WITH COMMENT",1,"")</f>
        <v/>
      </c>
      <c r="Y45" s="122">
        <f t="shared" ref="Y45" ca="1" si="126">IF(D44="NOT APPROVED",1,"")</f>
        <v>1</v>
      </c>
      <c r="Z45" s="122" t="str">
        <f t="shared" ref="Z45" ca="1" si="127">IF(D44="INFORMATION",1,"")</f>
        <v/>
      </c>
      <c r="AA45" s="99" t="str">
        <f t="shared" ref="AA45" si="128">N50</f>
        <v/>
      </c>
      <c r="AD45" s="13"/>
      <c r="AF45" s="12"/>
      <c r="AJ45" s="13"/>
      <c r="AL45" s="12"/>
    </row>
    <row r="46" spans="1:38" s="11" customFormat="1" ht="15" customHeight="1" x14ac:dyDescent="0.3">
      <c r="A46" s="39" t="str">
        <f t="shared" si="7"/>
        <v>NPK-800-T2-DS-TK801-K</v>
      </c>
      <c r="B46" s="21" t="str">
        <f t="shared" si="7"/>
        <v>MECHANICAL DATA SHEET SHULPURIC ACID STORAGE TANK (81-TK-801 A/B)</v>
      </c>
      <c r="C46" s="22" t="str">
        <f t="shared" ref="C46" si="129">IF(ISBLANK(O49),NETWORKDAYS(O46,$W$10),"")</f>
        <v/>
      </c>
      <c r="D46" s="40"/>
      <c r="E46" s="78" t="str">
        <f t="shared" ref="E46" si="130">IF(AND(NOT(ISBLANK(O49)),ISBLANK(Q46)),NETWORKDAYS(O49,$W$10),"")</f>
        <v/>
      </c>
      <c r="F46" s="131"/>
      <c r="G46" s="169"/>
      <c r="H46" s="170"/>
      <c r="I46" s="128"/>
      <c r="J46" s="63" t="s">
        <v>18</v>
      </c>
      <c r="K46" s="53">
        <v>44044</v>
      </c>
      <c r="L46" s="45" t="str">
        <f t="shared" ref="L46" si="131">IF(AND(K46="",K49=""),"",C44)</f>
        <v/>
      </c>
      <c r="M46" s="53">
        <v>44046</v>
      </c>
      <c r="N46" s="45" t="str">
        <f t="shared" ref="N46" si="132">IF(AND(M46="",M49=""),"",C45)</f>
        <v/>
      </c>
      <c r="O46" s="53">
        <v>44051</v>
      </c>
      <c r="P46" s="45" t="str">
        <f t="shared" ref="P46" si="133">IF(AND(O46="",O49=""),"",C46)</f>
        <v/>
      </c>
      <c r="Q46" s="53">
        <v>44058</v>
      </c>
      <c r="R46" s="45">
        <f t="shared" ref="R46" ca="1" si="134">IF(AND(Q46="",Q49=""),"",C47)</f>
        <v>361</v>
      </c>
      <c r="S46" s="53"/>
      <c r="T46" s="45" t="str">
        <f t="shared" ref="T46" si="135">IF(AND(S46="",S49=""),"",C48)</f>
        <v/>
      </c>
      <c r="U46" s="53"/>
      <c r="V46" s="45" t="str">
        <f t="shared" ref="V46" si="136">IF(AND(U46="",U49=""),"",C49)</f>
        <v/>
      </c>
      <c r="W46" s="123"/>
      <c r="X46" s="122"/>
      <c r="Y46" s="122"/>
      <c r="Z46" s="122"/>
      <c r="AA46" s="99" t="str">
        <f t="shared" ref="AA46" si="137">P50</f>
        <v/>
      </c>
      <c r="AD46" s="13"/>
      <c r="AF46" s="12"/>
      <c r="AJ46" s="13"/>
      <c r="AL46" s="12"/>
    </row>
    <row r="47" spans="1:38" s="11" customFormat="1" ht="15" customHeight="1" x14ac:dyDescent="0.3">
      <c r="A47" s="39" t="str">
        <f t="shared" si="7"/>
        <v>NPK-800-T2-DS-TK801-K</v>
      </c>
      <c r="B47" s="21" t="str">
        <f t="shared" si="7"/>
        <v>MECHANICAL DATA SHEET SHULPURIC ACID STORAGE TANK (81-TK-801 A/B)</v>
      </c>
      <c r="C47" s="22">
        <f t="shared" ref="C47" ca="1" si="138">IF(ISBLANK(Q49),NETWORKDAYS(Q46,$W$10),"")</f>
        <v>361</v>
      </c>
      <c r="D47" s="40"/>
      <c r="E47" s="78" t="str">
        <f t="shared" ref="E47" si="139">IF(AND(NOT(ISBLANK(Q49)),ISBLANK(S46)),NETWORKDAYS(Q49,$W$10),"")</f>
        <v/>
      </c>
      <c r="F47" s="131"/>
      <c r="G47" s="169"/>
      <c r="H47" s="170"/>
      <c r="I47" s="128"/>
      <c r="J47" s="63" t="s">
        <v>19</v>
      </c>
      <c r="K47" s="70" t="s">
        <v>51</v>
      </c>
      <c r="L47" s="49"/>
      <c r="M47" s="70" t="s">
        <v>54</v>
      </c>
      <c r="N47" s="49"/>
      <c r="O47" s="70" t="s">
        <v>55</v>
      </c>
      <c r="P47" s="49"/>
      <c r="Q47" s="70"/>
      <c r="R47" s="49"/>
      <c r="S47" s="70"/>
      <c r="T47" s="49"/>
      <c r="U47" s="70"/>
      <c r="V47" s="49"/>
      <c r="W47" s="123"/>
      <c r="X47" s="122"/>
      <c r="Y47" s="122"/>
      <c r="Z47" s="122"/>
      <c r="AA47" s="99" t="str">
        <f t="shared" ref="AA47" si="140">R50</f>
        <v/>
      </c>
      <c r="AD47" s="13"/>
      <c r="AF47" s="12"/>
      <c r="AJ47" s="13"/>
      <c r="AL47" s="12"/>
    </row>
    <row r="48" spans="1:38" s="11" customFormat="1" ht="15" customHeight="1" x14ac:dyDescent="0.3">
      <c r="A48" s="39" t="str">
        <f t="shared" si="7"/>
        <v>NPK-800-T2-DS-TK801-K</v>
      </c>
      <c r="B48" s="21" t="str">
        <f t="shared" si="7"/>
        <v>MECHANICAL DATA SHEET SHULPURIC ACID STORAGE TANK (81-TK-801 A/B)</v>
      </c>
      <c r="C48" s="22">
        <f t="shared" ref="C48" ca="1" si="141">IF(ISBLANK(S49),NETWORKDAYS(S46,$W$10),"")</f>
        <v>31831</v>
      </c>
      <c r="D48" s="40"/>
      <c r="E48" s="78" t="str">
        <f t="shared" ref="E48" si="142">IF(AND(NOT(ISBLANK(S49)),ISBLANK(U46)),NETWORKDAYS(S49,$W$10),"")</f>
        <v/>
      </c>
      <c r="F48" s="131"/>
      <c r="G48" s="169"/>
      <c r="H48" s="170"/>
      <c r="I48" s="128"/>
      <c r="J48" s="64" t="s">
        <v>20</v>
      </c>
      <c r="K48" s="70" t="s">
        <v>35</v>
      </c>
      <c r="L48" s="49"/>
      <c r="M48" s="70" t="s">
        <v>35</v>
      </c>
      <c r="N48" s="49"/>
      <c r="O48" s="70" t="s">
        <v>27</v>
      </c>
      <c r="P48" s="49"/>
      <c r="Q48" s="70"/>
      <c r="R48" s="49"/>
      <c r="S48" s="70"/>
      <c r="T48" s="49"/>
      <c r="U48" s="70"/>
      <c r="V48" s="49"/>
      <c r="W48" s="123"/>
      <c r="X48" s="122"/>
      <c r="Y48" s="122"/>
      <c r="Z48" s="122"/>
      <c r="AA48" s="99" t="str">
        <f t="shared" ref="AA48" si="143">T50</f>
        <v/>
      </c>
      <c r="AD48" s="13"/>
      <c r="AF48" s="12"/>
      <c r="AJ48" s="13"/>
      <c r="AL48" s="12"/>
    </row>
    <row r="49" spans="1:38" s="11" customFormat="1" ht="15" customHeight="1" thickBot="1" x14ac:dyDescent="0.35">
      <c r="A49" s="41" t="str">
        <f t="shared" si="7"/>
        <v>NPK-800-T2-DS-TK801-K</v>
      </c>
      <c r="B49" s="42" t="str">
        <f t="shared" si="7"/>
        <v>MECHANICAL DATA SHEET SHULPURIC ACID STORAGE TANK (81-TK-801 A/B)</v>
      </c>
      <c r="C49" s="43">
        <f t="shared" ref="C49" ca="1" si="144">IF(ISBLANK(U49),NETWORKDAYS(U46,$W$10),"")</f>
        <v>31831</v>
      </c>
      <c r="D49" s="44"/>
      <c r="E49" s="79"/>
      <c r="F49" s="131"/>
      <c r="G49" s="169"/>
      <c r="H49" s="170"/>
      <c r="I49" s="128"/>
      <c r="J49" s="63" t="s">
        <v>18</v>
      </c>
      <c r="K49" s="71">
        <v>44046</v>
      </c>
      <c r="L49" s="45"/>
      <c r="M49" s="71">
        <v>44049</v>
      </c>
      <c r="N49" s="45"/>
      <c r="O49" s="71">
        <v>44053</v>
      </c>
      <c r="P49" s="45"/>
      <c r="Q49" s="71"/>
      <c r="R49" s="45"/>
      <c r="S49" s="71"/>
      <c r="T49" s="45"/>
      <c r="U49" s="68"/>
      <c r="V49" s="45"/>
      <c r="W49" s="123"/>
      <c r="X49" s="122"/>
      <c r="Y49" s="122"/>
      <c r="Z49" s="122"/>
      <c r="AA49" s="99"/>
      <c r="AD49" s="13"/>
      <c r="AF49" s="12"/>
      <c r="AJ49" s="13"/>
      <c r="AL49" s="12"/>
    </row>
    <row r="50" spans="1:38" s="11" customFormat="1" ht="15" customHeight="1" thickBot="1" x14ac:dyDescent="0.35">
      <c r="A50" s="39"/>
      <c r="B50" s="21"/>
      <c r="C50" s="22"/>
      <c r="D50" s="40"/>
      <c r="E50" s="22"/>
      <c r="F50" s="132"/>
      <c r="G50" s="169"/>
      <c r="H50" s="170"/>
      <c r="I50" s="129"/>
      <c r="J50" s="63" t="s">
        <v>53</v>
      </c>
      <c r="K50" s="66">
        <f t="shared" ref="K50" si="145">IF(NOT(ISBLANK(M46)),NETWORKDAYS(K49,M46),"")</f>
        <v>1</v>
      </c>
      <c r="L50" s="73" t="str">
        <f t="shared" ref="L50" si="146">IF(K48="APPROVED","",E44)</f>
        <v/>
      </c>
      <c r="M50" s="66">
        <f t="shared" ref="M50" si="147">IF(NOT(ISBLANK(O46)),NETWORKDAYS(M49,O46),"")</f>
        <v>2</v>
      </c>
      <c r="N50" s="73" t="str">
        <f t="shared" ref="N50" si="148">IF(M48="APPROVED","",E45)</f>
        <v/>
      </c>
      <c r="O50" s="66">
        <f t="shared" ref="O50" si="149">IF(NOT(ISBLANK(Q46)),NETWORKDAYS(O49,Q46),"")</f>
        <v>5</v>
      </c>
      <c r="P50" s="73" t="str">
        <f t="shared" ref="P50" si="150">IF(O48="APPROVED","",E46)</f>
        <v/>
      </c>
      <c r="Q50" s="66" t="str">
        <f t="shared" ref="Q50" si="151">IF(NOT(ISBLANK(S46)),NETWORKDAYS(Q49,$W$10),"")</f>
        <v/>
      </c>
      <c r="R50" s="73" t="str">
        <f t="shared" ref="R50" si="152">IF(Q48="APPROVED","",E47)</f>
        <v/>
      </c>
      <c r="S50" s="65" t="str">
        <f t="shared" ref="S50" si="153">IF(U46="","",NETWORKDAYS(S49,U46))</f>
        <v/>
      </c>
      <c r="T50" s="67" t="str">
        <f t="shared" ref="T50" si="154">IF(AND(NOT(ISBLANK(S49)),ISBLANK(U46)),E48,"")</f>
        <v/>
      </c>
      <c r="U50" s="76"/>
      <c r="V50" s="77" t="str">
        <f>IF(AND(NOT(ISBLANK(U49)),ISBLANK(U50)),#REF!,"")</f>
        <v/>
      </c>
      <c r="W50" s="58"/>
      <c r="X50" s="58"/>
      <c r="Y50" s="58"/>
      <c r="Z50" s="58"/>
      <c r="AA50" s="58"/>
      <c r="AD50" s="13"/>
      <c r="AF50" s="12"/>
      <c r="AJ50" s="13"/>
      <c r="AL50" s="12"/>
    </row>
    <row r="51" spans="1:38" s="11" customFormat="1" ht="15" customHeight="1" x14ac:dyDescent="0.3">
      <c r="A51" s="36" t="str">
        <f t="shared" ref="A51:B51" si="155">_xlfn.CONCAT(G51)</f>
        <v/>
      </c>
      <c r="B51" s="37" t="str">
        <f t="shared" si="155"/>
        <v/>
      </c>
      <c r="C51" s="38">
        <f t="shared" ref="C51" ca="1" si="156">IF(ISBLANK(K56),NETWORKDAYS(K53,$W$10),"")</f>
        <v>31831</v>
      </c>
      <c r="D51" s="72" t="str">
        <f t="shared" ref="D51" ca="1" si="157">IFERROR(LOOKUP($W$10,K56:V56,K55:V55),"")</f>
        <v/>
      </c>
      <c r="E51" s="72" t="str">
        <f t="shared" ref="E51" si="158">IF(AND(NOT(ISBLANK(K56)),ISBLANK(M53)),NETWORKDAYS(K56,$W$10),"")</f>
        <v/>
      </c>
      <c r="F51" s="130">
        <v>6</v>
      </c>
      <c r="G51" s="128"/>
      <c r="H51" s="125"/>
      <c r="I51" s="127"/>
      <c r="J51" s="63" t="s">
        <v>16</v>
      </c>
      <c r="K51" s="55"/>
      <c r="L51" s="49"/>
      <c r="M51" s="55"/>
      <c r="N51" s="49"/>
      <c r="O51" s="55"/>
      <c r="P51" s="49"/>
      <c r="Q51" s="55"/>
      <c r="R51" s="49"/>
      <c r="S51" s="55"/>
      <c r="T51" s="49"/>
      <c r="U51" s="55"/>
      <c r="V51" s="49"/>
      <c r="W51" s="80"/>
      <c r="X51" s="80"/>
      <c r="Y51" s="80"/>
      <c r="Z51" s="80"/>
      <c r="AA51" s="85" t="str">
        <f t="shared" ref="AA51" si="159">L57</f>
        <v/>
      </c>
      <c r="AD51" s="13"/>
      <c r="AF51" s="12"/>
      <c r="AJ51" s="13"/>
      <c r="AL51" s="12"/>
    </row>
    <row r="52" spans="1:38" s="11" customFormat="1" ht="15" customHeight="1" x14ac:dyDescent="0.3">
      <c r="A52" s="39" t="str">
        <f t="shared" ref="A52:B52" si="160">A51</f>
        <v/>
      </c>
      <c r="B52" s="21" t="str">
        <f t="shared" si="160"/>
        <v/>
      </c>
      <c r="C52" s="22">
        <f t="shared" ref="C52" ca="1" si="161">IF(ISBLANK(M56),NETWORKDAYS(M53,$W$10),"")</f>
        <v>31831</v>
      </c>
      <c r="D52" s="40"/>
      <c r="E52" s="78" t="str">
        <f t="shared" ref="E52" si="162">IF(AND(NOT(ISBLANK(M56)),ISBLANK(O53)),NETWORKDAYS(M56,$W$10),"")</f>
        <v/>
      </c>
      <c r="F52" s="131"/>
      <c r="G52" s="128"/>
      <c r="H52" s="125"/>
      <c r="I52" s="128"/>
      <c r="J52" s="63" t="s">
        <v>17</v>
      </c>
      <c r="K52" s="55"/>
      <c r="L52" s="49"/>
      <c r="M52" s="55"/>
      <c r="N52" s="49"/>
      <c r="O52" s="55"/>
      <c r="P52" s="49"/>
      <c r="Q52" s="55"/>
      <c r="R52" s="49"/>
      <c r="S52" s="55"/>
      <c r="T52" s="49"/>
      <c r="U52" s="55"/>
      <c r="V52" s="49"/>
      <c r="W52" s="123" t="str">
        <f t="shared" ref="W52" ca="1" si="163">IF(D51="APPROVED",1,"")</f>
        <v/>
      </c>
      <c r="X52" s="122" t="str">
        <f t="shared" ref="X52" ca="1" si="164">IF(D51="APPROVED WITH COMMENT",1,"")</f>
        <v/>
      </c>
      <c r="Y52" s="122" t="str">
        <f t="shared" ref="Y52" ca="1" si="165">IF(D51="NOT APPROVED",1,"")</f>
        <v/>
      </c>
      <c r="Z52" s="122" t="str">
        <f t="shared" ref="Z52" ca="1" si="166">IF(D51="INFORMATION",1,"")</f>
        <v/>
      </c>
      <c r="AA52" s="99" t="str">
        <f t="shared" ref="AA52" si="167">N57</f>
        <v/>
      </c>
      <c r="AD52" s="13"/>
      <c r="AF52" s="12"/>
      <c r="AJ52" s="13"/>
      <c r="AL52" s="12"/>
    </row>
    <row r="53" spans="1:38" s="11" customFormat="1" ht="15" customHeight="1" x14ac:dyDescent="0.3">
      <c r="A53" s="39" t="str">
        <f t="shared" si="7"/>
        <v/>
      </c>
      <c r="B53" s="21" t="str">
        <f t="shared" si="7"/>
        <v/>
      </c>
      <c r="C53" s="22">
        <f t="shared" ref="C53" ca="1" si="168">IF(ISBLANK(O56),NETWORKDAYS(O53,$W$10),"")</f>
        <v>31831</v>
      </c>
      <c r="D53" s="40"/>
      <c r="E53" s="78" t="str">
        <f t="shared" ref="E53" si="169">IF(AND(NOT(ISBLANK(O56)),ISBLANK(Q53)),NETWORKDAYS(O56,$W$10),"")</f>
        <v/>
      </c>
      <c r="F53" s="131"/>
      <c r="G53" s="128"/>
      <c r="H53" s="125"/>
      <c r="I53" s="128"/>
      <c r="J53" s="63" t="s">
        <v>18</v>
      </c>
      <c r="K53" s="53"/>
      <c r="L53" s="45" t="str">
        <f t="shared" ref="L53" si="170">IF(AND(K53="",K56=""),"",C51)</f>
        <v/>
      </c>
      <c r="M53" s="53"/>
      <c r="N53" s="45" t="str">
        <f t="shared" ref="N53" si="171">IF(AND(M53="",M56=""),"",C52)</f>
        <v/>
      </c>
      <c r="O53" s="53"/>
      <c r="P53" s="45" t="str">
        <f t="shared" ref="P53" si="172">IF(AND(O53="",O56=""),"",C53)</f>
        <v/>
      </c>
      <c r="Q53" s="53"/>
      <c r="R53" s="45" t="str">
        <f t="shared" ref="R53" si="173">IF(AND(Q53="",Q56=""),"",C54)</f>
        <v/>
      </c>
      <c r="S53" s="53"/>
      <c r="T53" s="45" t="str">
        <f t="shared" ref="T53" si="174">IF(AND(S53="",S56=""),"",C55)</f>
        <v/>
      </c>
      <c r="U53" s="53"/>
      <c r="V53" s="45" t="str">
        <f t="shared" ref="V53" si="175">IF(AND(U53="",U56=""),"",C56)</f>
        <v/>
      </c>
      <c r="W53" s="123"/>
      <c r="X53" s="122"/>
      <c r="Y53" s="122"/>
      <c r="Z53" s="122"/>
      <c r="AA53" s="99" t="str">
        <f t="shared" ref="AA53" si="176">P57</f>
        <v/>
      </c>
      <c r="AD53" s="13"/>
      <c r="AF53" s="12"/>
      <c r="AJ53" s="13"/>
      <c r="AL53" s="12"/>
    </row>
    <row r="54" spans="1:38" s="11" customFormat="1" ht="15" customHeight="1" x14ac:dyDescent="0.3">
      <c r="A54" s="39" t="str">
        <f t="shared" si="7"/>
        <v/>
      </c>
      <c r="B54" s="21" t="str">
        <f t="shared" si="7"/>
        <v/>
      </c>
      <c r="C54" s="22">
        <f t="shared" ref="C54" ca="1" si="177">IF(ISBLANK(Q56),NETWORKDAYS(Q53,$W$10),"")</f>
        <v>31831</v>
      </c>
      <c r="D54" s="40"/>
      <c r="E54" s="78" t="str">
        <f t="shared" ref="E54" si="178">IF(AND(NOT(ISBLANK(Q56)),ISBLANK(S53)),NETWORKDAYS(Q56,$W$10),"")</f>
        <v/>
      </c>
      <c r="F54" s="131"/>
      <c r="G54" s="128"/>
      <c r="H54" s="125"/>
      <c r="I54" s="128"/>
      <c r="J54" s="63" t="s">
        <v>19</v>
      </c>
      <c r="K54" s="70"/>
      <c r="L54" s="49"/>
      <c r="M54" s="70"/>
      <c r="N54" s="49"/>
      <c r="O54" s="70"/>
      <c r="P54" s="49"/>
      <c r="Q54" s="70"/>
      <c r="R54" s="49"/>
      <c r="S54" s="70"/>
      <c r="T54" s="49"/>
      <c r="U54" s="70"/>
      <c r="V54" s="49"/>
      <c r="W54" s="123"/>
      <c r="X54" s="122"/>
      <c r="Y54" s="122"/>
      <c r="Z54" s="122"/>
      <c r="AA54" s="99" t="str">
        <f t="shared" ref="AA54" si="179">R57</f>
        <v/>
      </c>
      <c r="AD54" s="13"/>
      <c r="AF54" s="12"/>
      <c r="AJ54" s="13"/>
      <c r="AL54" s="12"/>
    </row>
    <row r="55" spans="1:38" s="11" customFormat="1" ht="15" customHeight="1" x14ac:dyDescent="0.3">
      <c r="A55" s="39" t="str">
        <f t="shared" si="7"/>
        <v/>
      </c>
      <c r="B55" s="21" t="str">
        <f t="shared" si="7"/>
        <v/>
      </c>
      <c r="C55" s="22">
        <f t="shared" ref="C55" ca="1" si="180">IF(ISBLANK(S56),NETWORKDAYS(S53,$W$10),"")</f>
        <v>31831</v>
      </c>
      <c r="D55" s="40"/>
      <c r="E55" s="78" t="str">
        <f t="shared" ref="E55" si="181">IF(AND(NOT(ISBLANK(S56)),ISBLANK(U53)),NETWORKDAYS(S56,$W$10),"")</f>
        <v/>
      </c>
      <c r="F55" s="131"/>
      <c r="G55" s="128"/>
      <c r="H55" s="125"/>
      <c r="I55" s="128"/>
      <c r="J55" s="64" t="s">
        <v>20</v>
      </c>
      <c r="K55" s="70"/>
      <c r="L55" s="49"/>
      <c r="M55" s="70"/>
      <c r="N55" s="49"/>
      <c r="O55" s="70"/>
      <c r="P55" s="49"/>
      <c r="Q55" s="70"/>
      <c r="R55" s="49"/>
      <c r="S55" s="70"/>
      <c r="T55" s="49"/>
      <c r="U55" s="70"/>
      <c r="V55" s="49"/>
      <c r="W55" s="123"/>
      <c r="X55" s="122"/>
      <c r="Y55" s="122"/>
      <c r="Z55" s="122"/>
      <c r="AA55" s="99" t="str">
        <f t="shared" ref="AA55" si="182">T57</f>
        <v/>
      </c>
      <c r="AD55" s="13"/>
      <c r="AF55" s="12"/>
      <c r="AJ55" s="13"/>
      <c r="AL55" s="12"/>
    </row>
    <row r="56" spans="1:38" s="11" customFormat="1" ht="15" customHeight="1" thickBot="1" x14ac:dyDescent="0.35">
      <c r="A56" s="41" t="str">
        <f t="shared" si="7"/>
        <v/>
      </c>
      <c r="B56" s="42" t="str">
        <f t="shared" si="7"/>
        <v/>
      </c>
      <c r="C56" s="43">
        <f t="shared" ref="C56" ca="1" si="183">IF(ISBLANK(U56),NETWORKDAYS(U53,$W$10),"")</f>
        <v>31831</v>
      </c>
      <c r="D56" s="44"/>
      <c r="E56" s="79"/>
      <c r="F56" s="131"/>
      <c r="G56" s="128"/>
      <c r="H56" s="125"/>
      <c r="I56" s="128"/>
      <c r="J56" s="63" t="s">
        <v>18</v>
      </c>
      <c r="K56" s="71"/>
      <c r="L56" s="45"/>
      <c r="M56" s="71"/>
      <c r="N56" s="45"/>
      <c r="O56" s="71"/>
      <c r="P56" s="45"/>
      <c r="Q56" s="71"/>
      <c r="R56" s="45"/>
      <c r="S56" s="71"/>
      <c r="T56" s="45"/>
      <c r="U56" s="68"/>
      <c r="V56" s="45"/>
      <c r="W56" s="123"/>
      <c r="X56" s="122"/>
      <c r="Y56" s="122"/>
      <c r="Z56" s="122"/>
      <c r="AA56" s="99"/>
      <c r="AD56" s="13"/>
      <c r="AF56" s="12"/>
      <c r="AJ56" s="13"/>
      <c r="AL56" s="12"/>
    </row>
    <row r="57" spans="1:38" s="11" customFormat="1" ht="15" customHeight="1" thickBot="1" x14ac:dyDescent="0.35">
      <c r="A57" s="39"/>
      <c r="B57" s="21"/>
      <c r="C57" s="22"/>
      <c r="D57" s="40"/>
      <c r="E57" s="22"/>
      <c r="F57" s="132"/>
      <c r="G57" s="129"/>
      <c r="H57" s="126"/>
      <c r="I57" s="129"/>
      <c r="J57" s="63" t="s">
        <v>53</v>
      </c>
      <c r="K57" s="66" t="str">
        <f t="shared" ref="K57" si="184">IF(NOT(ISBLANK(M53)),NETWORKDAYS(K56,M53),"")</f>
        <v/>
      </c>
      <c r="L57" s="73" t="str">
        <f t="shared" ref="L57" si="185">IF(K55="APPROVED","",E51)</f>
        <v/>
      </c>
      <c r="M57" s="66" t="str">
        <f t="shared" ref="M57" si="186">IF(NOT(ISBLANK(O53)),NETWORKDAYS(M56,O53),"")</f>
        <v/>
      </c>
      <c r="N57" s="73" t="str">
        <f t="shared" ref="N57" si="187">IF(M55="APPROVED","",E52)</f>
        <v/>
      </c>
      <c r="O57" s="66" t="str">
        <f t="shared" ref="O57" si="188">IF(NOT(ISBLANK(Q53)),NETWORKDAYS(O56,Q53),"")</f>
        <v/>
      </c>
      <c r="P57" s="73" t="str">
        <f t="shared" ref="P57" si="189">IF(O55="APPROVED","",E53)</f>
        <v/>
      </c>
      <c r="Q57" s="66" t="str">
        <f t="shared" ref="Q57" si="190">IF(NOT(ISBLANK(S53)),NETWORKDAYS(Q56,$W$10),"")</f>
        <v/>
      </c>
      <c r="R57" s="73" t="str">
        <f t="shared" ref="R57" si="191">IF(Q55="APPROVED","",E54)</f>
        <v/>
      </c>
      <c r="S57" s="65" t="str">
        <f t="shared" ref="S57" si="192">IF(U53="","",NETWORKDAYS(S56,U53))</f>
        <v/>
      </c>
      <c r="T57" s="67" t="str">
        <f t="shared" ref="T57" si="193">IF(AND(NOT(ISBLANK(S56)),ISBLANK(U53)),E55,"")</f>
        <v/>
      </c>
      <c r="U57" s="76"/>
      <c r="V57" s="77" t="str">
        <f>IF(AND(NOT(ISBLANK(U56)),ISBLANK(U57)),#REF!,"")</f>
        <v/>
      </c>
      <c r="W57" s="58"/>
      <c r="X57" s="58"/>
      <c r="Y57" s="58"/>
      <c r="Z57" s="58"/>
      <c r="AA57" s="58"/>
      <c r="AD57" s="13"/>
      <c r="AF57" s="12"/>
      <c r="AJ57" s="13"/>
      <c r="AL57" s="12"/>
    </row>
    <row r="58" spans="1:38" s="11" customFormat="1" ht="15" customHeight="1" x14ac:dyDescent="0.3">
      <c r="A58" s="36" t="str">
        <f t="shared" ref="A58:B58" si="194">_xlfn.CONCAT(G58)</f>
        <v/>
      </c>
      <c r="B58" s="37" t="str">
        <f t="shared" si="194"/>
        <v/>
      </c>
      <c r="C58" s="38">
        <f t="shared" ref="C58" ca="1" si="195">IF(ISBLANK(K63),NETWORKDAYS(K60,$W$10),"")</f>
        <v>31831</v>
      </c>
      <c r="D58" s="72" t="str">
        <f t="shared" ref="D58" ca="1" si="196">IFERROR(LOOKUP($W$10,K63:V63,K62:V62),"")</f>
        <v/>
      </c>
      <c r="E58" s="72" t="str">
        <f t="shared" ref="E58" si="197">IF(AND(NOT(ISBLANK(K63)),ISBLANK(M60)),NETWORKDAYS(K63,$W$10),"")</f>
        <v/>
      </c>
      <c r="F58" s="130">
        <v>7</v>
      </c>
      <c r="G58" s="127"/>
      <c r="H58" s="124"/>
      <c r="I58" s="127"/>
      <c r="J58" s="63" t="s">
        <v>16</v>
      </c>
      <c r="K58" s="55"/>
      <c r="L58" s="49"/>
      <c r="M58" s="55"/>
      <c r="N58" s="49"/>
      <c r="O58" s="55"/>
      <c r="P58" s="49"/>
      <c r="Q58" s="55"/>
      <c r="R58" s="49"/>
      <c r="S58" s="55"/>
      <c r="T58" s="49"/>
      <c r="U58" s="55"/>
      <c r="V58" s="49"/>
      <c r="W58" s="80"/>
      <c r="X58" s="80"/>
      <c r="Y58" s="80"/>
      <c r="Z58" s="80"/>
      <c r="AA58" s="85" t="str">
        <f t="shared" ref="AA58" si="198">L64</f>
        <v/>
      </c>
      <c r="AD58" s="13"/>
      <c r="AF58" s="12"/>
      <c r="AJ58" s="13"/>
      <c r="AL58" s="12"/>
    </row>
    <row r="59" spans="1:38" s="11" customFormat="1" ht="15" customHeight="1" x14ac:dyDescent="0.3">
      <c r="A59" s="39" t="str">
        <f t="shared" ref="A59:B59" si="199">A58</f>
        <v/>
      </c>
      <c r="B59" s="21" t="str">
        <f t="shared" si="199"/>
        <v/>
      </c>
      <c r="C59" s="22">
        <f t="shared" ref="C59" ca="1" si="200">IF(ISBLANK(M63),NETWORKDAYS(M60,$W$10),"")</f>
        <v>31831</v>
      </c>
      <c r="D59" s="40"/>
      <c r="E59" s="78" t="str">
        <f t="shared" ref="E59" si="201">IF(AND(NOT(ISBLANK(M63)),ISBLANK(O60)),NETWORKDAYS(M63,$W$10),"")</f>
        <v/>
      </c>
      <c r="F59" s="131"/>
      <c r="G59" s="128"/>
      <c r="H59" s="125"/>
      <c r="I59" s="128"/>
      <c r="J59" s="63" t="s">
        <v>17</v>
      </c>
      <c r="K59" s="55"/>
      <c r="L59" s="49"/>
      <c r="M59" s="55"/>
      <c r="N59" s="49"/>
      <c r="O59" s="55"/>
      <c r="P59" s="49"/>
      <c r="Q59" s="55"/>
      <c r="R59" s="49"/>
      <c r="S59" s="55"/>
      <c r="T59" s="49"/>
      <c r="U59" s="55"/>
      <c r="V59" s="49"/>
      <c r="W59" s="123" t="str">
        <f t="shared" ref="W59" ca="1" si="202">IF(D58="APPROVED",1,"")</f>
        <v/>
      </c>
      <c r="X59" s="122" t="str">
        <f t="shared" ref="X59" ca="1" si="203">IF(D58="APPROVED WITH COMMENT",1,"")</f>
        <v/>
      </c>
      <c r="Y59" s="122" t="str">
        <f t="shared" ref="Y59" ca="1" si="204">IF(D58="NOT APPROVED",1,"")</f>
        <v/>
      </c>
      <c r="Z59" s="122" t="str">
        <f t="shared" ref="Z59" ca="1" si="205">IF(D58="INFORMATION",1,"")</f>
        <v/>
      </c>
      <c r="AA59" s="99" t="str">
        <f t="shared" ref="AA59" si="206">N64</f>
        <v/>
      </c>
      <c r="AD59" s="13"/>
      <c r="AF59" s="12"/>
      <c r="AJ59" s="13"/>
      <c r="AL59" s="12"/>
    </row>
    <row r="60" spans="1:38" s="11" customFormat="1" ht="15" customHeight="1" x14ac:dyDescent="0.3">
      <c r="A60" s="39" t="str">
        <f t="shared" si="7"/>
        <v/>
      </c>
      <c r="B60" s="21" t="str">
        <f t="shared" si="7"/>
        <v/>
      </c>
      <c r="C60" s="22">
        <f t="shared" ref="C60" ca="1" si="207">IF(ISBLANK(O63),NETWORKDAYS(O60,$W$10),"")</f>
        <v>31831</v>
      </c>
      <c r="D60" s="40"/>
      <c r="E60" s="78" t="str">
        <f t="shared" ref="E60" si="208">IF(AND(NOT(ISBLANK(O63)),ISBLANK(Q60)),NETWORKDAYS(O63,$W$10),"")</f>
        <v/>
      </c>
      <c r="F60" s="131"/>
      <c r="G60" s="128"/>
      <c r="H60" s="125"/>
      <c r="I60" s="128"/>
      <c r="J60" s="63" t="s">
        <v>18</v>
      </c>
      <c r="K60" s="53"/>
      <c r="L60" s="45" t="str">
        <f t="shared" ref="L60" si="209">IF(AND(K60="",K63=""),"",C58)</f>
        <v/>
      </c>
      <c r="M60" s="53"/>
      <c r="N60" s="45" t="str">
        <f t="shared" ref="N60" si="210">IF(AND(M60="",M63=""),"",C59)</f>
        <v/>
      </c>
      <c r="O60" s="53"/>
      <c r="P60" s="45" t="str">
        <f t="shared" ref="P60" si="211">IF(AND(O60="",O63=""),"",C60)</f>
        <v/>
      </c>
      <c r="Q60" s="53"/>
      <c r="R60" s="45" t="str">
        <f t="shared" ref="R60" si="212">IF(AND(Q60="",Q63=""),"",C61)</f>
        <v/>
      </c>
      <c r="S60" s="53"/>
      <c r="T60" s="45" t="str">
        <f t="shared" ref="T60" si="213">IF(AND(S60="",S63=""),"",C62)</f>
        <v/>
      </c>
      <c r="U60" s="53"/>
      <c r="V60" s="45" t="str">
        <f t="shared" ref="V60" si="214">IF(AND(U60="",U63=""),"",C63)</f>
        <v/>
      </c>
      <c r="W60" s="123"/>
      <c r="X60" s="122"/>
      <c r="Y60" s="122"/>
      <c r="Z60" s="122"/>
      <c r="AA60" s="99" t="str">
        <f t="shared" ref="AA60" si="215">P64</f>
        <v/>
      </c>
      <c r="AD60" s="13"/>
      <c r="AF60" s="12"/>
      <c r="AJ60" s="13"/>
      <c r="AL60" s="12"/>
    </row>
    <row r="61" spans="1:38" s="11" customFormat="1" ht="15" customHeight="1" x14ac:dyDescent="0.3">
      <c r="A61" s="39" t="str">
        <f t="shared" si="7"/>
        <v/>
      </c>
      <c r="B61" s="21" t="str">
        <f t="shared" si="7"/>
        <v/>
      </c>
      <c r="C61" s="22">
        <f t="shared" ref="C61" ca="1" si="216">IF(ISBLANK(Q63),NETWORKDAYS(Q60,$W$10),"")</f>
        <v>31831</v>
      </c>
      <c r="D61" s="40"/>
      <c r="E61" s="78" t="str">
        <f t="shared" ref="E61" si="217">IF(AND(NOT(ISBLANK(Q63)),ISBLANK(S60)),NETWORKDAYS(Q63,$W$10),"")</f>
        <v/>
      </c>
      <c r="F61" s="131"/>
      <c r="G61" s="128"/>
      <c r="H61" s="125"/>
      <c r="I61" s="128"/>
      <c r="J61" s="63" t="s">
        <v>19</v>
      </c>
      <c r="K61" s="70"/>
      <c r="L61" s="49"/>
      <c r="M61" s="70"/>
      <c r="N61" s="49"/>
      <c r="O61" s="70"/>
      <c r="P61" s="49"/>
      <c r="Q61" s="70"/>
      <c r="R61" s="49"/>
      <c r="S61" s="70"/>
      <c r="T61" s="49"/>
      <c r="U61" s="70"/>
      <c r="V61" s="49"/>
      <c r="W61" s="123"/>
      <c r="X61" s="122"/>
      <c r="Y61" s="122"/>
      <c r="Z61" s="122"/>
      <c r="AA61" s="99" t="str">
        <f t="shared" ref="AA61" si="218">R64</f>
        <v/>
      </c>
      <c r="AD61" s="13"/>
      <c r="AF61" s="12"/>
      <c r="AJ61" s="13"/>
      <c r="AL61" s="12"/>
    </row>
    <row r="62" spans="1:38" s="11" customFormat="1" ht="15" customHeight="1" x14ac:dyDescent="0.3">
      <c r="A62" s="39" t="str">
        <f t="shared" si="7"/>
        <v/>
      </c>
      <c r="B62" s="21" t="str">
        <f t="shared" si="7"/>
        <v/>
      </c>
      <c r="C62" s="22">
        <f t="shared" ref="C62" ca="1" si="219">IF(ISBLANK(S63),NETWORKDAYS(S60,$W$10),"")</f>
        <v>31831</v>
      </c>
      <c r="D62" s="40"/>
      <c r="E62" s="78" t="str">
        <f t="shared" ref="E62" si="220">IF(AND(NOT(ISBLANK(S63)),ISBLANK(U60)),NETWORKDAYS(S63,$W$10),"")</f>
        <v/>
      </c>
      <c r="F62" s="131"/>
      <c r="G62" s="128"/>
      <c r="H62" s="125"/>
      <c r="I62" s="128"/>
      <c r="J62" s="64" t="s">
        <v>20</v>
      </c>
      <c r="K62" s="70"/>
      <c r="L62" s="49"/>
      <c r="M62" s="70"/>
      <c r="N62" s="49"/>
      <c r="O62" s="70"/>
      <c r="P62" s="49"/>
      <c r="Q62" s="70"/>
      <c r="R62" s="49"/>
      <c r="S62" s="70"/>
      <c r="T62" s="49"/>
      <c r="U62" s="70"/>
      <c r="V62" s="49"/>
      <c r="W62" s="123"/>
      <c r="X62" s="122"/>
      <c r="Y62" s="122"/>
      <c r="Z62" s="122"/>
      <c r="AA62" s="99" t="str">
        <f t="shared" ref="AA62" si="221">T64</f>
        <v/>
      </c>
      <c r="AD62" s="13"/>
      <c r="AF62" s="12"/>
      <c r="AJ62" s="13"/>
      <c r="AL62" s="12"/>
    </row>
    <row r="63" spans="1:38" s="11" customFormat="1" ht="15" customHeight="1" thickBot="1" x14ac:dyDescent="0.35">
      <c r="A63" s="41" t="str">
        <f t="shared" si="7"/>
        <v/>
      </c>
      <c r="B63" s="42" t="str">
        <f t="shared" si="7"/>
        <v/>
      </c>
      <c r="C63" s="43">
        <f t="shared" ref="C63" ca="1" si="222">IF(ISBLANK(U63),NETWORKDAYS(U60,$W$10),"")</f>
        <v>31831</v>
      </c>
      <c r="D63" s="44"/>
      <c r="E63" s="79"/>
      <c r="F63" s="131"/>
      <c r="G63" s="128"/>
      <c r="H63" s="125"/>
      <c r="I63" s="128"/>
      <c r="J63" s="63" t="s">
        <v>18</v>
      </c>
      <c r="K63" s="71"/>
      <c r="L63" s="45"/>
      <c r="M63" s="71"/>
      <c r="N63" s="45"/>
      <c r="O63" s="71"/>
      <c r="P63" s="45"/>
      <c r="Q63" s="71"/>
      <c r="R63" s="45"/>
      <c r="S63" s="71"/>
      <c r="T63" s="45"/>
      <c r="U63" s="68"/>
      <c r="V63" s="45"/>
      <c r="W63" s="123"/>
      <c r="X63" s="122"/>
      <c r="Y63" s="122"/>
      <c r="Z63" s="122"/>
      <c r="AA63" s="99"/>
      <c r="AD63" s="13"/>
      <c r="AF63" s="12"/>
      <c r="AJ63" s="13"/>
      <c r="AL63" s="12"/>
    </row>
    <row r="64" spans="1:38" s="11" customFormat="1" ht="15" customHeight="1" thickBot="1" x14ac:dyDescent="0.35">
      <c r="A64" s="39"/>
      <c r="B64" s="21"/>
      <c r="C64" s="22"/>
      <c r="D64" s="40"/>
      <c r="E64" s="22"/>
      <c r="F64" s="132"/>
      <c r="G64" s="129"/>
      <c r="H64" s="126"/>
      <c r="I64" s="129"/>
      <c r="J64" s="63" t="s">
        <v>53</v>
      </c>
      <c r="K64" s="66" t="str">
        <f t="shared" ref="K64" si="223">IF(NOT(ISBLANK(M60)),NETWORKDAYS(K63,M60),"")</f>
        <v/>
      </c>
      <c r="L64" s="73" t="str">
        <f t="shared" ref="L64" si="224">IF(K62="APPROVED","",E58)</f>
        <v/>
      </c>
      <c r="M64" s="66" t="str">
        <f t="shared" ref="M64" si="225">IF(NOT(ISBLANK(O60)),NETWORKDAYS(M63,O60),"")</f>
        <v/>
      </c>
      <c r="N64" s="73" t="str">
        <f t="shared" ref="N64" si="226">IF(M62="APPROVED","",E59)</f>
        <v/>
      </c>
      <c r="O64" s="66" t="str">
        <f t="shared" ref="O64" si="227">IF(NOT(ISBLANK(Q60)),NETWORKDAYS(O63,Q60),"")</f>
        <v/>
      </c>
      <c r="P64" s="73" t="str">
        <f t="shared" ref="P64" si="228">IF(O62="APPROVED","",E60)</f>
        <v/>
      </c>
      <c r="Q64" s="66" t="str">
        <f t="shared" ref="Q64" si="229">IF(NOT(ISBLANK(S60)),NETWORKDAYS(Q63,$W$10),"")</f>
        <v/>
      </c>
      <c r="R64" s="73" t="str">
        <f t="shared" ref="R64" si="230">IF(Q62="APPROVED","",E61)</f>
        <v/>
      </c>
      <c r="S64" s="65" t="str">
        <f t="shared" ref="S64" si="231">IF(U60="","",NETWORKDAYS(S63,U60))</f>
        <v/>
      </c>
      <c r="T64" s="67" t="str">
        <f t="shared" ref="T64" si="232">IF(AND(NOT(ISBLANK(S63)),ISBLANK(U60)),E62,"")</f>
        <v/>
      </c>
      <c r="U64" s="76"/>
      <c r="V64" s="77" t="str">
        <f>IF(AND(NOT(ISBLANK(U63)),ISBLANK(U64)),#REF!,"")</f>
        <v/>
      </c>
      <c r="W64" s="58"/>
      <c r="X64" s="58"/>
      <c r="Y64" s="58"/>
      <c r="Z64" s="58"/>
      <c r="AA64" s="58"/>
      <c r="AD64" s="13"/>
      <c r="AF64" s="12"/>
      <c r="AJ64" s="13"/>
      <c r="AL64" s="12"/>
    </row>
    <row r="65" spans="1:38" s="11" customFormat="1" ht="15" customHeight="1" x14ac:dyDescent="0.3">
      <c r="A65" s="36" t="str">
        <f t="shared" ref="A65:B65" si="233">_xlfn.CONCAT(G65)</f>
        <v/>
      </c>
      <c r="B65" s="37" t="str">
        <f t="shared" si="233"/>
        <v/>
      </c>
      <c r="C65" s="38">
        <f t="shared" ref="C65" ca="1" si="234">IF(ISBLANK(K70),NETWORKDAYS(K67,$W$10),"")</f>
        <v>31831</v>
      </c>
      <c r="D65" s="72" t="str">
        <f t="shared" ref="D65" ca="1" si="235">IFERROR(LOOKUP($W$10,K70:V70,K69:V69),"")</f>
        <v/>
      </c>
      <c r="E65" s="72" t="str">
        <f t="shared" ref="E65" si="236">IF(AND(NOT(ISBLANK(K70)),ISBLANK(M67)),NETWORKDAYS(K70,$W$10),"")</f>
        <v/>
      </c>
      <c r="F65" s="130">
        <v>8</v>
      </c>
      <c r="G65" s="127"/>
      <c r="H65" s="124"/>
      <c r="I65" s="127"/>
      <c r="J65" s="63" t="s">
        <v>16</v>
      </c>
      <c r="K65" s="55"/>
      <c r="L65" s="49"/>
      <c r="M65" s="55"/>
      <c r="N65" s="49"/>
      <c r="O65" s="55"/>
      <c r="P65" s="49"/>
      <c r="Q65" s="55"/>
      <c r="R65" s="49"/>
      <c r="S65" s="55"/>
      <c r="T65" s="49"/>
      <c r="U65" s="55"/>
      <c r="V65" s="49"/>
      <c r="W65" s="80"/>
      <c r="X65" s="80"/>
      <c r="Y65" s="80"/>
      <c r="Z65" s="80"/>
      <c r="AA65" s="85" t="str">
        <f t="shared" ref="AA65" si="237">L71</f>
        <v/>
      </c>
      <c r="AD65" s="13"/>
      <c r="AF65" s="12"/>
      <c r="AJ65" s="13"/>
      <c r="AL65" s="12"/>
    </row>
    <row r="66" spans="1:38" s="11" customFormat="1" ht="15" customHeight="1" x14ac:dyDescent="0.3">
      <c r="A66" s="39" t="str">
        <f t="shared" ref="A66:B66" si="238">A65</f>
        <v/>
      </c>
      <c r="B66" s="21" t="str">
        <f t="shared" si="238"/>
        <v/>
      </c>
      <c r="C66" s="22">
        <f t="shared" ref="C66" ca="1" si="239">IF(ISBLANK(M70),NETWORKDAYS(M67,$W$10),"")</f>
        <v>31831</v>
      </c>
      <c r="D66" s="40"/>
      <c r="E66" s="78" t="str">
        <f t="shared" ref="E66" si="240">IF(AND(NOT(ISBLANK(M70)),ISBLANK(O67)),NETWORKDAYS(M70,$W$10),"")</f>
        <v/>
      </c>
      <c r="F66" s="131"/>
      <c r="G66" s="128"/>
      <c r="H66" s="125"/>
      <c r="I66" s="128"/>
      <c r="J66" s="63" t="s">
        <v>17</v>
      </c>
      <c r="K66" s="55"/>
      <c r="L66" s="49"/>
      <c r="M66" s="55"/>
      <c r="N66" s="49"/>
      <c r="O66" s="55"/>
      <c r="P66" s="49"/>
      <c r="Q66" s="55"/>
      <c r="R66" s="49"/>
      <c r="S66" s="55"/>
      <c r="T66" s="49"/>
      <c r="U66" s="55"/>
      <c r="V66" s="49"/>
      <c r="W66" s="123" t="str">
        <f t="shared" ref="W66" ca="1" si="241">IF(D65="APPROVED",1,"")</f>
        <v/>
      </c>
      <c r="X66" s="122" t="str">
        <f t="shared" ref="X66" ca="1" si="242">IF(D65="APPROVED WITH COMMENT",1,"")</f>
        <v/>
      </c>
      <c r="Y66" s="122" t="str">
        <f t="shared" ref="Y66" ca="1" si="243">IF(D65="NOT APPROVED",1,"")</f>
        <v/>
      </c>
      <c r="Z66" s="122" t="str">
        <f t="shared" ref="Z66" ca="1" si="244">IF(D65="INFORMATION",1,"")</f>
        <v/>
      </c>
      <c r="AA66" s="99" t="str">
        <f t="shared" ref="AA66" si="245">N71</f>
        <v/>
      </c>
      <c r="AD66" s="13"/>
      <c r="AF66" s="12"/>
      <c r="AJ66" s="13"/>
      <c r="AL66" s="12"/>
    </row>
    <row r="67" spans="1:38" s="11" customFormat="1" ht="15" customHeight="1" x14ac:dyDescent="0.3">
      <c r="A67" s="39" t="str">
        <f t="shared" si="7"/>
        <v/>
      </c>
      <c r="B67" s="21" t="str">
        <f t="shared" si="7"/>
        <v/>
      </c>
      <c r="C67" s="22">
        <f t="shared" ref="C67" ca="1" si="246">IF(ISBLANK(O70),NETWORKDAYS(O67,$W$10),"")</f>
        <v>31831</v>
      </c>
      <c r="D67" s="40"/>
      <c r="E67" s="78" t="str">
        <f t="shared" ref="E67" si="247">IF(AND(NOT(ISBLANK(O70)),ISBLANK(Q67)),NETWORKDAYS(O70,$W$10),"")</f>
        <v/>
      </c>
      <c r="F67" s="131"/>
      <c r="G67" s="128"/>
      <c r="H67" s="125"/>
      <c r="I67" s="128"/>
      <c r="J67" s="63" t="s">
        <v>18</v>
      </c>
      <c r="K67" s="53"/>
      <c r="L67" s="45" t="str">
        <f t="shared" ref="L67" si="248">IF(AND(K67="",K70=""),"",C65)</f>
        <v/>
      </c>
      <c r="M67" s="53"/>
      <c r="N67" s="45" t="str">
        <f t="shared" ref="N67" si="249">IF(AND(M67="",M70=""),"",C66)</f>
        <v/>
      </c>
      <c r="O67" s="53"/>
      <c r="P67" s="45" t="str">
        <f t="shared" ref="P67" si="250">IF(AND(O67="",O70=""),"",C67)</f>
        <v/>
      </c>
      <c r="Q67" s="53"/>
      <c r="R67" s="45" t="str">
        <f t="shared" ref="R67" si="251">IF(AND(Q67="",Q70=""),"",C68)</f>
        <v/>
      </c>
      <c r="S67" s="53"/>
      <c r="T67" s="45" t="str">
        <f t="shared" ref="T67" si="252">IF(AND(S67="",S70=""),"",C69)</f>
        <v/>
      </c>
      <c r="U67" s="53"/>
      <c r="V67" s="45" t="str">
        <f t="shared" ref="V67" si="253">IF(AND(U67="",U70=""),"",C70)</f>
        <v/>
      </c>
      <c r="W67" s="123"/>
      <c r="X67" s="122"/>
      <c r="Y67" s="122"/>
      <c r="Z67" s="122"/>
      <c r="AA67" s="99" t="str">
        <f t="shared" ref="AA67" si="254">P71</f>
        <v/>
      </c>
      <c r="AD67" s="13"/>
      <c r="AF67" s="12"/>
      <c r="AJ67" s="13"/>
      <c r="AL67" s="12"/>
    </row>
    <row r="68" spans="1:38" s="11" customFormat="1" ht="15" customHeight="1" x14ac:dyDescent="0.3">
      <c r="A68" s="39" t="str">
        <f t="shared" si="7"/>
        <v/>
      </c>
      <c r="B68" s="21" t="str">
        <f t="shared" si="7"/>
        <v/>
      </c>
      <c r="C68" s="22">
        <f t="shared" ref="C68" ca="1" si="255">IF(ISBLANK(Q70),NETWORKDAYS(Q67,$W$10),"")</f>
        <v>31831</v>
      </c>
      <c r="D68" s="40"/>
      <c r="E68" s="78" t="str">
        <f t="shared" ref="E68" si="256">IF(AND(NOT(ISBLANK(Q70)),ISBLANK(S67)),NETWORKDAYS(Q70,$W$10),"")</f>
        <v/>
      </c>
      <c r="F68" s="131"/>
      <c r="G68" s="128"/>
      <c r="H68" s="125"/>
      <c r="I68" s="128"/>
      <c r="J68" s="63" t="s">
        <v>19</v>
      </c>
      <c r="K68" s="70"/>
      <c r="L68" s="49"/>
      <c r="M68" s="70"/>
      <c r="N68" s="49"/>
      <c r="O68" s="70"/>
      <c r="P68" s="49"/>
      <c r="Q68" s="70"/>
      <c r="R68" s="49"/>
      <c r="S68" s="70"/>
      <c r="T68" s="49"/>
      <c r="U68" s="70"/>
      <c r="V68" s="49"/>
      <c r="W68" s="123"/>
      <c r="X68" s="122"/>
      <c r="Y68" s="122"/>
      <c r="Z68" s="122"/>
      <c r="AA68" s="99" t="str">
        <f t="shared" ref="AA68" si="257">R71</f>
        <v/>
      </c>
      <c r="AD68" s="13"/>
      <c r="AF68" s="12"/>
      <c r="AJ68" s="13"/>
      <c r="AL68" s="12"/>
    </row>
    <row r="69" spans="1:38" s="11" customFormat="1" ht="15" customHeight="1" x14ac:dyDescent="0.3">
      <c r="A69" s="39" t="str">
        <f t="shared" si="7"/>
        <v/>
      </c>
      <c r="B69" s="21" t="str">
        <f t="shared" si="7"/>
        <v/>
      </c>
      <c r="C69" s="22">
        <f t="shared" ref="C69" ca="1" si="258">IF(ISBLANK(S70),NETWORKDAYS(S67,$W$10),"")</f>
        <v>31831</v>
      </c>
      <c r="D69" s="40"/>
      <c r="E69" s="78" t="str">
        <f t="shared" ref="E69" si="259">IF(AND(NOT(ISBLANK(S70)),ISBLANK(U67)),NETWORKDAYS(S70,$W$10),"")</f>
        <v/>
      </c>
      <c r="F69" s="131"/>
      <c r="G69" s="128"/>
      <c r="H69" s="125"/>
      <c r="I69" s="128"/>
      <c r="J69" s="64" t="s">
        <v>20</v>
      </c>
      <c r="K69" s="70"/>
      <c r="L69" s="49"/>
      <c r="M69" s="70"/>
      <c r="N69" s="49"/>
      <c r="O69" s="70"/>
      <c r="P69" s="49"/>
      <c r="Q69" s="70"/>
      <c r="R69" s="49"/>
      <c r="S69" s="70"/>
      <c r="T69" s="49"/>
      <c r="U69" s="70"/>
      <c r="V69" s="49"/>
      <c r="W69" s="123"/>
      <c r="X69" s="122"/>
      <c r="Y69" s="122"/>
      <c r="Z69" s="122"/>
      <c r="AA69" s="99" t="str">
        <f t="shared" ref="AA69" si="260">T71</f>
        <v/>
      </c>
      <c r="AD69" s="13"/>
      <c r="AF69" s="12"/>
      <c r="AJ69" s="13"/>
      <c r="AL69" s="12"/>
    </row>
    <row r="70" spans="1:38" s="11" customFormat="1" ht="15" customHeight="1" thickBot="1" x14ac:dyDescent="0.35">
      <c r="A70" s="41" t="str">
        <f t="shared" si="7"/>
        <v/>
      </c>
      <c r="B70" s="42" t="str">
        <f t="shared" si="7"/>
        <v/>
      </c>
      <c r="C70" s="43">
        <f t="shared" ref="C70" ca="1" si="261">IF(ISBLANK(U70),NETWORKDAYS(U67,$W$10),"")</f>
        <v>31831</v>
      </c>
      <c r="D70" s="44"/>
      <c r="E70" s="79"/>
      <c r="F70" s="131"/>
      <c r="G70" s="128"/>
      <c r="H70" s="125"/>
      <c r="I70" s="128"/>
      <c r="J70" s="63" t="s">
        <v>18</v>
      </c>
      <c r="K70" s="71"/>
      <c r="L70" s="45"/>
      <c r="M70" s="71"/>
      <c r="N70" s="45"/>
      <c r="O70" s="71"/>
      <c r="P70" s="45"/>
      <c r="Q70" s="71"/>
      <c r="R70" s="45"/>
      <c r="S70" s="71"/>
      <c r="T70" s="45"/>
      <c r="U70" s="68"/>
      <c r="V70" s="45"/>
      <c r="W70" s="123"/>
      <c r="X70" s="122"/>
      <c r="Y70" s="122"/>
      <c r="Z70" s="122"/>
      <c r="AA70" s="99"/>
      <c r="AD70" s="13"/>
      <c r="AF70" s="12"/>
      <c r="AJ70" s="13"/>
      <c r="AL70" s="12"/>
    </row>
    <row r="71" spans="1:38" s="11" customFormat="1" ht="15" customHeight="1" thickBot="1" x14ac:dyDescent="0.35">
      <c r="A71" s="39"/>
      <c r="B71" s="21"/>
      <c r="C71" s="22"/>
      <c r="D71" s="40"/>
      <c r="E71" s="22"/>
      <c r="F71" s="132"/>
      <c r="G71" s="129"/>
      <c r="H71" s="126"/>
      <c r="I71" s="129"/>
      <c r="J71" s="63" t="s">
        <v>53</v>
      </c>
      <c r="K71" s="66" t="str">
        <f t="shared" ref="K71" si="262">IF(NOT(ISBLANK(M67)),NETWORKDAYS(K70,M67),"")</f>
        <v/>
      </c>
      <c r="L71" s="73" t="str">
        <f t="shared" ref="L71" si="263">IF(K69="APPROVED","",E65)</f>
        <v/>
      </c>
      <c r="M71" s="66" t="str">
        <f t="shared" ref="M71" si="264">IF(NOT(ISBLANK(O67)),NETWORKDAYS(M70,O67),"")</f>
        <v/>
      </c>
      <c r="N71" s="73" t="str">
        <f t="shared" ref="N71" si="265">IF(M69="APPROVED","",E66)</f>
        <v/>
      </c>
      <c r="O71" s="66" t="str">
        <f t="shared" ref="O71" si="266">IF(NOT(ISBLANK(Q67)),NETWORKDAYS(O70,Q67),"")</f>
        <v/>
      </c>
      <c r="P71" s="73" t="str">
        <f t="shared" ref="P71" si="267">IF(O69="APPROVED","",E67)</f>
        <v/>
      </c>
      <c r="Q71" s="66" t="str">
        <f t="shared" ref="Q71" si="268">IF(NOT(ISBLANK(S67)),NETWORKDAYS(Q70,$W$10),"")</f>
        <v/>
      </c>
      <c r="R71" s="73" t="str">
        <f t="shared" ref="R71" si="269">IF(Q69="APPROVED","",E68)</f>
        <v/>
      </c>
      <c r="S71" s="65" t="str">
        <f t="shared" ref="S71" si="270">IF(U67="","",NETWORKDAYS(S70,U67))</f>
        <v/>
      </c>
      <c r="T71" s="67" t="str">
        <f t="shared" ref="T71" si="271">IF(AND(NOT(ISBLANK(S70)),ISBLANK(U67)),E69,"")</f>
        <v/>
      </c>
      <c r="U71" s="76"/>
      <c r="V71" s="77" t="str">
        <f>IF(AND(NOT(ISBLANK(U70)),ISBLANK(U71)),#REF!,"")</f>
        <v/>
      </c>
      <c r="W71" s="58"/>
      <c r="X71" s="58"/>
      <c r="Y71" s="58"/>
      <c r="Z71" s="58"/>
      <c r="AA71" s="58"/>
      <c r="AD71" s="13"/>
      <c r="AF71" s="12"/>
      <c r="AJ71" s="13"/>
      <c r="AL71" s="12"/>
    </row>
    <row r="72" spans="1:38" s="11" customFormat="1" ht="15" customHeight="1" x14ac:dyDescent="0.3">
      <c r="A72" s="36" t="str">
        <f t="shared" ref="A72:B72" si="272">_xlfn.CONCAT(G72)</f>
        <v/>
      </c>
      <c r="B72" s="37" t="str">
        <f t="shared" si="272"/>
        <v/>
      </c>
      <c r="C72" s="38">
        <f t="shared" ref="C72" ca="1" si="273">IF(ISBLANK(K77),NETWORKDAYS(K74,$W$10),"")</f>
        <v>31831</v>
      </c>
      <c r="D72" s="72" t="str">
        <f t="shared" ref="D72" ca="1" si="274">IFERROR(LOOKUP($W$10,K77:V77,K76:V76),"")</f>
        <v/>
      </c>
      <c r="E72" s="72" t="str">
        <f t="shared" ref="E72" si="275">IF(AND(NOT(ISBLANK(K77)),ISBLANK(M74)),NETWORKDAYS(K77,$W$10),"")</f>
        <v/>
      </c>
      <c r="F72" s="130">
        <v>9</v>
      </c>
      <c r="G72" s="127"/>
      <c r="H72" s="124"/>
      <c r="I72" s="127"/>
      <c r="J72" s="63" t="s">
        <v>16</v>
      </c>
      <c r="K72" s="55"/>
      <c r="L72" s="49"/>
      <c r="M72" s="55"/>
      <c r="N72" s="49"/>
      <c r="O72" s="55"/>
      <c r="P72" s="49"/>
      <c r="Q72" s="55"/>
      <c r="R72" s="49"/>
      <c r="S72" s="55"/>
      <c r="T72" s="49"/>
      <c r="U72" s="55"/>
      <c r="V72" s="49"/>
      <c r="W72" s="80"/>
      <c r="X72" s="80"/>
      <c r="Y72" s="80"/>
      <c r="Z72" s="80"/>
      <c r="AA72" s="85" t="str">
        <f t="shared" ref="AA72" si="276">L78</f>
        <v/>
      </c>
      <c r="AD72" s="13"/>
      <c r="AF72" s="12"/>
      <c r="AJ72" s="13"/>
      <c r="AL72" s="12"/>
    </row>
    <row r="73" spans="1:38" s="11" customFormat="1" ht="15" customHeight="1" x14ac:dyDescent="0.3">
      <c r="A73" s="39" t="str">
        <f t="shared" ref="A73:B73" si="277">A72</f>
        <v/>
      </c>
      <c r="B73" s="21" t="str">
        <f t="shared" si="277"/>
        <v/>
      </c>
      <c r="C73" s="22">
        <f t="shared" ref="C73" ca="1" si="278">IF(ISBLANK(M77),NETWORKDAYS(M74,$W$10),"")</f>
        <v>31831</v>
      </c>
      <c r="D73" s="40"/>
      <c r="E73" s="78" t="str">
        <f t="shared" ref="E73" si="279">IF(AND(NOT(ISBLANK(M77)),ISBLANK(O74)),NETWORKDAYS(M77,$W$10),"")</f>
        <v/>
      </c>
      <c r="F73" s="131"/>
      <c r="G73" s="128"/>
      <c r="H73" s="125"/>
      <c r="I73" s="128"/>
      <c r="J73" s="63" t="s">
        <v>17</v>
      </c>
      <c r="K73" s="55"/>
      <c r="L73" s="49"/>
      <c r="M73" s="55"/>
      <c r="N73" s="49"/>
      <c r="O73" s="55"/>
      <c r="P73" s="49"/>
      <c r="Q73" s="55"/>
      <c r="R73" s="49"/>
      <c r="S73" s="55"/>
      <c r="T73" s="49"/>
      <c r="U73" s="55"/>
      <c r="V73" s="49"/>
      <c r="W73" s="123" t="str">
        <f t="shared" ref="W73" ca="1" si="280">IF(D72="APPROVED",1,"")</f>
        <v/>
      </c>
      <c r="X73" s="122" t="str">
        <f t="shared" ref="X73" ca="1" si="281">IF(D72="APPROVED WITH COMMENT",1,"")</f>
        <v/>
      </c>
      <c r="Y73" s="122" t="str">
        <f t="shared" ref="Y73" ca="1" si="282">IF(D72="NOT APPROVED",1,"")</f>
        <v/>
      </c>
      <c r="Z73" s="122" t="str">
        <f t="shared" ref="Z73" ca="1" si="283">IF(D72="INFORMATION",1,"")</f>
        <v/>
      </c>
      <c r="AA73" s="99" t="str">
        <f t="shared" ref="AA73" si="284">N78</f>
        <v/>
      </c>
      <c r="AD73" s="13"/>
      <c r="AF73" s="12"/>
      <c r="AJ73" s="13"/>
      <c r="AL73" s="12"/>
    </row>
    <row r="74" spans="1:38" s="11" customFormat="1" ht="15" customHeight="1" x14ac:dyDescent="0.3">
      <c r="A74" s="39" t="str">
        <f t="shared" si="7"/>
        <v/>
      </c>
      <c r="B74" s="21" t="str">
        <f t="shared" si="7"/>
        <v/>
      </c>
      <c r="C74" s="22">
        <f t="shared" ref="C74" ca="1" si="285">IF(ISBLANK(O77),NETWORKDAYS(O74,$W$10),"")</f>
        <v>31831</v>
      </c>
      <c r="D74" s="40"/>
      <c r="E74" s="78" t="str">
        <f t="shared" ref="E74" si="286">IF(AND(NOT(ISBLANK(O77)),ISBLANK(Q74)),NETWORKDAYS(O77,$W$10),"")</f>
        <v/>
      </c>
      <c r="F74" s="131"/>
      <c r="G74" s="128"/>
      <c r="H74" s="125"/>
      <c r="I74" s="128"/>
      <c r="J74" s="63" t="s">
        <v>18</v>
      </c>
      <c r="K74" s="53"/>
      <c r="L74" s="45" t="str">
        <f t="shared" ref="L74" si="287">IF(AND(K74="",K77=""),"",C72)</f>
        <v/>
      </c>
      <c r="M74" s="53"/>
      <c r="N74" s="45" t="str">
        <f t="shared" ref="N74" si="288">IF(AND(M74="",M77=""),"",C73)</f>
        <v/>
      </c>
      <c r="O74" s="53"/>
      <c r="P74" s="45" t="str">
        <f t="shared" ref="P74" si="289">IF(AND(O74="",O77=""),"",C74)</f>
        <v/>
      </c>
      <c r="Q74" s="53"/>
      <c r="R74" s="45" t="str">
        <f t="shared" ref="R74" si="290">IF(AND(Q74="",Q77=""),"",C75)</f>
        <v/>
      </c>
      <c r="S74" s="53"/>
      <c r="T74" s="45" t="str">
        <f t="shared" ref="T74" si="291">IF(AND(S74="",S77=""),"",C76)</f>
        <v/>
      </c>
      <c r="U74" s="53"/>
      <c r="V74" s="45" t="str">
        <f t="shared" ref="V74" si="292">IF(AND(U74="",U77=""),"",C77)</f>
        <v/>
      </c>
      <c r="W74" s="123"/>
      <c r="X74" s="122"/>
      <c r="Y74" s="122"/>
      <c r="Z74" s="122"/>
      <c r="AA74" s="99" t="str">
        <f t="shared" ref="AA74" si="293">P78</f>
        <v/>
      </c>
      <c r="AD74" s="13"/>
      <c r="AF74" s="12"/>
      <c r="AJ74" s="13"/>
      <c r="AL74" s="12"/>
    </row>
    <row r="75" spans="1:38" s="11" customFormat="1" ht="15" customHeight="1" x14ac:dyDescent="0.3">
      <c r="A75" s="39" t="str">
        <f t="shared" si="7"/>
        <v/>
      </c>
      <c r="B75" s="21" t="str">
        <f t="shared" si="7"/>
        <v/>
      </c>
      <c r="C75" s="22">
        <f t="shared" ref="C75" ca="1" si="294">IF(ISBLANK(Q77),NETWORKDAYS(Q74,$W$10),"")</f>
        <v>31831</v>
      </c>
      <c r="D75" s="40"/>
      <c r="E75" s="78" t="str">
        <f t="shared" ref="E75" si="295">IF(AND(NOT(ISBLANK(Q77)),ISBLANK(S74)),NETWORKDAYS(Q77,$W$10),"")</f>
        <v/>
      </c>
      <c r="F75" s="131"/>
      <c r="G75" s="128"/>
      <c r="H75" s="125"/>
      <c r="I75" s="128"/>
      <c r="J75" s="63" t="s">
        <v>19</v>
      </c>
      <c r="K75" s="70"/>
      <c r="L75" s="49"/>
      <c r="M75" s="70"/>
      <c r="N75" s="49"/>
      <c r="O75" s="70"/>
      <c r="P75" s="49"/>
      <c r="Q75" s="70"/>
      <c r="R75" s="49"/>
      <c r="S75" s="70"/>
      <c r="T75" s="49"/>
      <c r="U75" s="70"/>
      <c r="V75" s="49"/>
      <c r="W75" s="123"/>
      <c r="X75" s="122"/>
      <c r="Y75" s="122"/>
      <c r="Z75" s="122"/>
      <c r="AA75" s="99" t="str">
        <f t="shared" ref="AA75" si="296">R78</f>
        <v/>
      </c>
      <c r="AD75" s="13"/>
      <c r="AF75" s="12"/>
      <c r="AJ75" s="13"/>
      <c r="AL75" s="12"/>
    </row>
    <row r="76" spans="1:38" s="11" customFormat="1" ht="15" customHeight="1" x14ac:dyDescent="0.3">
      <c r="A76" s="39" t="str">
        <f t="shared" si="7"/>
        <v/>
      </c>
      <c r="B76" s="21" t="str">
        <f t="shared" si="7"/>
        <v/>
      </c>
      <c r="C76" s="22">
        <f t="shared" ref="C76" ca="1" si="297">IF(ISBLANK(S77),NETWORKDAYS(S74,$W$10),"")</f>
        <v>31831</v>
      </c>
      <c r="D76" s="40"/>
      <c r="E76" s="78" t="str">
        <f t="shared" ref="E76" si="298">IF(AND(NOT(ISBLANK(S77)),ISBLANK(U74)),NETWORKDAYS(S77,$W$10),"")</f>
        <v/>
      </c>
      <c r="F76" s="131"/>
      <c r="G76" s="128"/>
      <c r="H76" s="125"/>
      <c r="I76" s="128"/>
      <c r="J76" s="64" t="s">
        <v>20</v>
      </c>
      <c r="K76" s="70"/>
      <c r="L76" s="49"/>
      <c r="M76" s="70"/>
      <c r="N76" s="49"/>
      <c r="O76" s="70"/>
      <c r="P76" s="49"/>
      <c r="Q76" s="70"/>
      <c r="R76" s="49"/>
      <c r="S76" s="70"/>
      <c r="T76" s="49"/>
      <c r="U76" s="70"/>
      <c r="V76" s="49"/>
      <c r="W76" s="123"/>
      <c r="X76" s="122"/>
      <c r="Y76" s="122"/>
      <c r="Z76" s="122"/>
      <c r="AA76" s="99" t="str">
        <f t="shared" ref="AA76" si="299">T78</f>
        <v/>
      </c>
      <c r="AD76" s="13"/>
      <c r="AF76" s="12"/>
      <c r="AJ76" s="13"/>
      <c r="AL76" s="12"/>
    </row>
    <row r="77" spans="1:38" s="11" customFormat="1" ht="15" customHeight="1" thickBot="1" x14ac:dyDescent="0.35">
      <c r="A77" s="41" t="str">
        <f t="shared" si="7"/>
        <v/>
      </c>
      <c r="B77" s="42" t="str">
        <f t="shared" si="7"/>
        <v/>
      </c>
      <c r="C77" s="43">
        <f t="shared" ref="C77" ca="1" si="300">IF(ISBLANK(U77),NETWORKDAYS(U74,$W$10),"")</f>
        <v>31831</v>
      </c>
      <c r="D77" s="44"/>
      <c r="E77" s="79"/>
      <c r="F77" s="131"/>
      <c r="G77" s="128"/>
      <c r="H77" s="125"/>
      <c r="I77" s="128"/>
      <c r="J77" s="63" t="s">
        <v>18</v>
      </c>
      <c r="K77" s="71"/>
      <c r="L77" s="45"/>
      <c r="M77" s="71"/>
      <c r="N77" s="45"/>
      <c r="O77" s="71"/>
      <c r="P77" s="45"/>
      <c r="Q77" s="71"/>
      <c r="R77" s="45"/>
      <c r="S77" s="71"/>
      <c r="T77" s="45"/>
      <c r="U77" s="68"/>
      <c r="V77" s="45"/>
      <c r="W77" s="123"/>
      <c r="X77" s="122"/>
      <c r="Y77" s="122"/>
      <c r="Z77" s="122"/>
      <c r="AA77" s="99"/>
      <c r="AD77" s="13"/>
      <c r="AF77" s="12"/>
      <c r="AJ77" s="13"/>
      <c r="AL77" s="12"/>
    </row>
    <row r="78" spans="1:38" s="11" customFormat="1" ht="15" customHeight="1" thickBot="1" x14ac:dyDescent="0.35">
      <c r="A78" s="39"/>
      <c r="B78" s="21"/>
      <c r="C78" s="22"/>
      <c r="D78" s="40"/>
      <c r="E78" s="22"/>
      <c r="F78" s="132"/>
      <c r="G78" s="129"/>
      <c r="H78" s="126"/>
      <c r="I78" s="129"/>
      <c r="J78" s="63" t="s">
        <v>53</v>
      </c>
      <c r="K78" s="66" t="str">
        <f t="shared" ref="K78" si="301">IF(NOT(ISBLANK(M74)),NETWORKDAYS(K77,M74),"")</f>
        <v/>
      </c>
      <c r="L78" s="73" t="str">
        <f t="shared" ref="L78" si="302">IF(K76="APPROVED","",E72)</f>
        <v/>
      </c>
      <c r="M78" s="66" t="str">
        <f t="shared" ref="M78" si="303">IF(NOT(ISBLANK(O74)),NETWORKDAYS(M77,O74),"")</f>
        <v/>
      </c>
      <c r="N78" s="73" t="str">
        <f t="shared" ref="N78" si="304">IF(M76="APPROVED","",E73)</f>
        <v/>
      </c>
      <c r="O78" s="66" t="str">
        <f t="shared" ref="O78" si="305">IF(NOT(ISBLANK(Q74)),NETWORKDAYS(O77,Q74),"")</f>
        <v/>
      </c>
      <c r="P78" s="73" t="str">
        <f t="shared" ref="P78" si="306">IF(O76="APPROVED","",E74)</f>
        <v/>
      </c>
      <c r="Q78" s="66" t="str">
        <f t="shared" ref="Q78" si="307">IF(NOT(ISBLANK(S74)),NETWORKDAYS(Q77,$W$10),"")</f>
        <v/>
      </c>
      <c r="R78" s="73" t="str">
        <f t="shared" ref="R78" si="308">IF(Q76="APPROVED","",E75)</f>
        <v/>
      </c>
      <c r="S78" s="65" t="str">
        <f t="shared" ref="S78" si="309">IF(U74="","",NETWORKDAYS(S77,U74))</f>
        <v/>
      </c>
      <c r="T78" s="67" t="str">
        <f t="shared" ref="T78" si="310">IF(AND(NOT(ISBLANK(S77)),ISBLANK(U74)),E76,"")</f>
        <v/>
      </c>
      <c r="U78" s="76"/>
      <c r="V78" s="77" t="str">
        <f>IF(AND(NOT(ISBLANK(U77)),ISBLANK(U78)),#REF!,"")</f>
        <v/>
      </c>
      <c r="W78" s="58"/>
      <c r="X78" s="58"/>
      <c r="Y78" s="58"/>
      <c r="Z78" s="58"/>
      <c r="AA78" s="58"/>
      <c r="AD78" s="13"/>
      <c r="AF78" s="12"/>
      <c r="AJ78" s="13"/>
      <c r="AL78" s="12"/>
    </row>
    <row r="79" spans="1:38" s="11" customFormat="1" ht="15" customHeight="1" x14ac:dyDescent="0.3">
      <c r="A79" s="36" t="str">
        <f t="shared" ref="A79:B79" si="311">_xlfn.CONCAT(G79)</f>
        <v/>
      </c>
      <c r="B79" s="37" t="str">
        <f t="shared" si="311"/>
        <v/>
      </c>
      <c r="C79" s="38">
        <f t="shared" ref="C79" ca="1" si="312">IF(ISBLANK(K84),NETWORKDAYS(K81,$W$10),"")</f>
        <v>31831</v>
      </c>
      <c r="D79" s="72" t="str">
        <f t="shared" ref="D79" ca="1" si="313">IFERROR(LOOKUP($W$10,K84:V84,K83:V83),"")</f>
        <v/>
      </c>
      <c r="E79" s="72" t="str">
        <f t="shared" ref="E79" si="314">IF(AND(NOT(ISBLANK(K84)),ISBLANK(M81)),NETWORKDAYS(K84,$W$10),"")</f>
        <v/>
      </c>
      <c r="F79" s="130">
        <v>10</v>
      </c>
      <c r="G79" s="127"/>
      <c r="H79" s="124"/>
      <c r="I79" s="127"/>
      <c r="J79" s="63" t="s">
        <v>16</v>
      </c>
      <c r="K79" s="55"/>
      <c r="L79" s="49"/>
      <c r="M79" s="55"/>
      <c r="N79" s="49"/>
      <c r="O79" s="55"/>
      <c r="P79" s="49"/>
      <c r="Q79" s="55"/>
      <c r="R79" s="49"/>
      <c r="S79" s="55"/>
      <c r="T79" s="49"/>
      <c r="U79" s="55"/>
      <c r="V79" s="49"/>
      <c r="W79" s="80"/>
      <c r="X79" s="80"/>
      <c r="Y79" s="80"/>
      <c r="Z79" s="80"/>
      <c r="AA79" s="85" t="str">
        <f t="shared" ref="AA79" si="315">L85</f>
        <v/>
      </c>
      <c r="AD79" s="13"/>
      <c r="AF79" s="12"/>
      <c r="AJ79" s="13"/>
      <c r="AL79" s="12"/>
    </row>
    <row r="80" spans="1:38" s="11" customFormat="1" ht="15" customHeight="1" x14ac:dyDescent="0.3">
      <c r="A80" s="39" t="str">
        <f t="shared" ref="A80:B80" si="316">A79</f>
        <v/>
      </c>
      <c r="B80" s="21" t="str">
        <f t="shared" si="316"/>
        <v/>
      </c>
      <c r="C80" s="22">
        <f t="shared" ref="C80" ca="1" si="317">IF(ISBLANK(M84),NETWORKDAYS(M81,$W$10),"")</f>
        <v>31831</v>
      </c>
      <c r="D80" s="40"/>
      <c r="E80" s="78" t="str">
        <f t="shared" ref="E80" si="318">IF(AND(NOT(ISBLANK(M84)),ISBLANK(O81)),NETWORKDAYS(M84,$W$10),"")</f>
        <v/>
      </c>
      <c r="F80" s="131"/>
      <c r="G80" s="128"/>
      <c r="H80" s="125"/>
      <c r="I80" s="128"/>
      <c r="J80" s="63" t="s">
        <v>17</v>
      </c>
      <c r="K80" s="55"/>
      <c r="L80" s="49"/>
      <c r="M80" s="55"/>
      <c r="N80" s="49"/>
      <c r="O80" s="55"/>
      <c r="P80" s="49"/>
      <c r="Q80" s="55"/>
      <c r="R80" s="49"/>
      <c r="S80" s="55"/>
      <c r="T80" s="49"/>
      <c r="U80" s="55"/>
      <c r="V80" s="49"/>
      <c r="W80" s="123" t="str">
        <f t="shared" ref="W80" ca="1" si="319">IF(D79="APPROVED",1,"")</f>
        <v/>
      </c>
      <c r="X80" s="122" t="str">
        <f t="shared" ref="X80" ca="1" si="320">IF(D79="APPROVED WITH COMMENT",1,"")</f>
        <v/>
      </c>
      <c r="Y80" s="122" t="str">
        <f t="shared" ref="Y80" ca="1" si="321">IF(D79="NOT APPROVED",1,"")</f>
        <v/>
      </c>
      <c r="Z80" s="122" t="str">
        <f t="shared" ref="Z80" ca="1" si="322">IF(D79="INFORMATION",1,"")</f>
        <v/>
      </c>
      <c r="AA80" s="99" t="str">
        <f t="shared" ref="AA80" si="323">N85</f>
        <v/>
      </c>
      <c r="AD80" s="13"/>
      <c r="AF80" s="12"/>
      <c r="AJ80" s="13"/>
      <c r="AL80" s="12"/>
    </row>
    <row r="81" spans="1:38" s="11" customFormat="1" ht="15" customHeight="1" x14ac:dyDescent="0.3">
      <c r="A81" s="39" t="str">
        <f t="shared" si="7"/>
        <v/>
      </c>
      <c r="B81" s="21" t="str">
        <f t="shared" si="7"/>
        <v/>
      </c>
      <c r="C81" s="22">
        <f t="shared" ref="C81" ca="1" si="324">IF(ISBLANK(O84),NETWORKDAYS(O81,$W$10),"")</f>
        <v>31831</v>
      </c>
      <c r="D81" s="40"/>
      <c r="E81" s="78" t="str">
        <f t="shared" ref="E81" si="325">IF(AND(NOT(ISBLANK(O84)),ISBLANK(Q81)),NETWORKDAYS(O84,$W$10),"")</f>
        <v/>
      </c>
      <c r="F81" s="131"/>
      <c r="G81" s="128"/>
      <c r="H81" s="125"/>
      <c r="I81" s="128"/>
      <c r="J81" s="63" t="s">
        <v>18</v>
      </c>
      <c r="K81" s="53"/>
      <c r="L81" s="45" t="str">
        <f t="shared" ref="L81" si="326">IF(AND(K81="",K84=""),"",C79)</f>
        <v/>
      </c>
      <c r="M81" s="53"/>
      <c r="N81" s="45" t="str">
        <f t="shared" ref="N81" si="327">IF(AND(M81="",M84=""),"",C80)</f>
        <v/>
      </c>
      <c r="O81" s="53"/>
      <c r="P81" s="45" t="str">
        <f t="shared" ref="P81" si="328">IF(AND(O81="",O84=""),"",C81)</f>
        <v/>
      </c>
      <c r="Q81" s="53"/>
      <c r="R81" s="45" t="str">
        <f t="shared" ref="R81" si="329">IF(AND(Q81="",Q84=""),"",C82)</f>
        <v/>
      </c>
      <c r="S81" s="53"/>
      <c r="T81" s="45" t="str">
        <f t="shared" ref="T81" si="330">IF(AND(S81="",S84=""),"",C83)</f>
        <v/>
      </c>
      <c r="U81" s="53"/>
      <c r="V81" s="45" t="str">
        <f t="shared" ref="V81" si="331">IF(AND(U81="",U84=""),"",C84)</f>
        <v/>
      </c>
      <c r="W81" s="123"/>
      <c r="X81" s="122"/>
      <c r="Y81" s="122"/>
      <c r="Z81" s="122"/>
      <c r="AA81" s="99" t="str">
        <f t="shared" ref="AA81" si="332">P85</f>
        <v/>
      </c>
      <c r="AD81" s="13"/>
      <c r="AF81" s="12"/>
      <c r="AJ81" s="13"/>
      <c r="AL81" s="12"/>
    </row>
    <row r="82" spans="1:38" s="11" customFormat="1" ht="15" customHeight="1" x14ac:dyDescent="0.3">
      <c r="A82" s="39" t="str">
        <f t="shared" si="7"/>
        <v/>
      </c>
      <c r="B82" s="21" t="str">
        <f t="shared" si="7"/>
        <v/>
      </c>
      <c r="C82" s="22">
        <f t="shared" ref="C82" ca="1" si="333">IF(ISBLANK(Q84),NETWORKDAYS(Q81,$W$10),"")</f>
        <v>31831</v>
      </c>
      <c r="D82" s="40"/>
      <c r="E82" s="78" t="str">
        <f t="shared" ref="E82" si="334">IF(AND(NOT(ISBLANK(Q84)),ISBLANK(S81)),NETWORKDAYS(Q84,$W$10),"")</f>
        <v/>
      </c>
      <c r="F82" s="131"/>
      <c r="G82" s="128"/>
      <c r="H82" s="125"/>
      <c r="I82" s="128"/>
      <c r="J82" s="63" t="s">
        <v>19</v>
      </c>
      <c r="K82" s="70"/>
      <c r="L82" s="49"/>
      <c r="M82" s="70"/>
      <c r="N82" s="49"/>
      <c r="O82" s="70"/>
      <c r="P82" s="49"/>
      <c r="Q82" s="70"/>
      <c r="R82" s="49"/>
      <c r="S82" s="70"/>
      <c r="T82" s="49"/>
      <c r="U82" s="70"/>
      <c r="V82" s="49"/>
      <c r="W82" s="123"/>
      <c r="X82" s="122"/>
      <c r="Y82" s="122"/>
      <c r="Z82" s="122"/>
      <c r="AA82" s="99" t="str">
        <f t="shared" ref="AA82" si="335">R85</f>
        <v/>
      </c>
      <c r="AD82" s="13"/>
      <c r="AF82" s="12"/>
      <c r="AJ82" s="13"/>
      <c r="AL82" s="12"/>
    </row>
    <row r="83" spans="1:38" s="11" customFormat="1" ht="15" customHeight="1" x14ac:dyDescent="0.3">
      <c r="A83" s="39" t="str">
        <f t="shared" si="7"/>
        <v/>
      </c>
      <c r="B83" s="21" t="str">
        <f t="shared" si="7"/>
        <v/>
      </c>
      <c r="C83" s="22">
        <f t="shared" ref="C83" ca="1" si="336">IF(ISBLANK(S84),NETWORKDAYS(S81,$W$10),"")</f>
        <v>31831</v>
      </c>
      <c r="D83" s="40"/>
      <c r="E83" s="78" t="str">
        <f t="shared" ref="E83" si="337">IF(AND(NOT(ISBLANK(S84)),ISBLANK(U81)),NETWORKDAYS(S84,$W$10),"")</f>
        <v/>
      </c>
      <c r="F83" s="131"/>
      <c r="G83" s="128"/>
      <c r="H83" s="125"/>
      <c r="I83" s="128"/>
      <c r="J83" s="64" t="s">
        <v>20</v>
      </c>
      <c r="K83" s="70"/>
      <c r="L83" s="49"/>
      <c r="M83" s="70"/>
      <c r="N83" s="49"/>
      <c r="O83" s="70"/>
      <c r="P83" s="49"/>
      <c r="Q83" s="70"/>
      <c r="R83" s="49"/>
      <c r="S83" s="70"/>
      <c r="T83" s="49"/>
      <c r="U83" s="70"/>
      <c r="V83" s="49"/>
      <c r="W83" s="123"/>
      <c r="X83" s="122"/>
      <c r="Y83" s="122"/>
      <c r="Z83" s="122"/>
      <c r="AA83" s="99" t="str">
        <f t="shared" ref="AA83" si="338">T85</f>
        <v/>
      </c>
      <c r="AD83" s="13"/>
      <c r="AF83" s="12"/>
      <c r="AJ83" s="13"/>
      <c r="AL83" s="12"/>
    </row>
    <row r="84" spans="1:38" s="11" customFormat="1" ht="15" customHeight="1" thickBot="1" x14ac:dyDescent="0.35">
      <c r="A84" s="41" t="str">
        <f t="shared" si="7"/>
        <v/>
      </c>
      <c r="B84" s="42" t="str">
        <f t="shared" si="7"/>
        <v/>
      </c>
      <c r="C84" s="43">
        <f t="shared" ref="C84" ca="1" si="339">IF(ISBLANK(U84),NETWORKDAYS(U81,$W$10),"")</f>
        <v>31831</v>
      </c>
      <c r="D84" s="44"/>
      <c r="E84" s="79"/>
      <c r="F84" s="131"/>
      <c r="G84" s="128"/>
      <c r="H84" s="125"/>
      <c r="I84" s="128"/>
      <c r="J84" s="63" t="s">
        <v>18</v>
      </c>
      <c r="K84" s="71"/>
      <c r="L84" s="45"/>
      <c r="M84" s="71"/>
      <c r="N84" s="45"/>
      <c r="O84" s="71"/>
      <c r="P84" s="45"/>
      <c r="Q84" s="71"/>
      <c r="R84" s="45"/>
      <c r="S84" s="71"/>
      <c r="T84" s="45"/>
      <c r="U84" s="68"/>
      <c r="V84" s="45"/>
      <c r="W84" s="123"/>
      <c r="X84" s="122"/>
      <c r="Y84" s="122"/>
      <c r="Z84" s="122"/>
      <c r="AA84" s="99"/>
      <c r="AD84" s="13"/>
      <c r="AF84" s="12"/>
      <c r="AJ84" s="13"/>
      <c r="AL84" s="12"/>
    </row>
    <row r="85" spans="1:38" s="11" customFormat="1" ht="15" customHeight="1" thickBot="1" x14ac:dyDescent="0.35">
      <c r="A85" s="39"/>
      <c r="B85" s="21"/>
      <c r="C85" s="22"/>
      <c r="D85" s="40"/>
      <c r="E85" s="22"/>
      <c r="F85" s="132"/>
      <c r="G85" s="129"/>
      <c r="H85" s="126"/>
      <c r="I85" s="129"/>
      <c r="J85" s="63" t="s">
        <v>53</v>
      </c>
      <c r="K85" s="66" t="str">
        <f t="shared" ref="K85" si="340">IF(NOT(ISBLANK(M81)),NETWORKDAYS(K84,M81),"")</f>
        <v/>
      </c>
      <c r="L85" s="73" t="str">
        <f t="shared" ref="L85" si="341">IF(K83="APPROVED","",E79)</f>
        <v/>
      </c>
      <c r="M85" s="66" t="str">
        <f t="shared" ref="M85" si="342">IF(NOT(ISBLANK(O81)),NETWORKDAYS(M84,O81),"")</f>
        <v/>
      </c>
      <c r="N85" s="73" t="str">
        <f t="shared" ref="N85" si="343">IF(M83="APPROVED","",E80)</f>
        <v/>
      </c>
      <c r="O85" s="66" t="str">
        <f t="shared" ref="O85" si="344">IF(NOT(ISBLANK(Q81)),NETWORKDAYS(O84,Q81),"")</f>
        <v/>
      </c>
      <c r="P85" s="73" t="str">
        <f t="shared" ref="P85" si="345">IF(O83="APPROVED","",E81)</f>
        <v/>
      </c>
      <c r="Q85" s="66" t="str">
        <f t="shared" ref="Q85" si="346">IF(NOT(ISBLANK(S81)),NETWORKDAYS(Q84,$W$10),"")</f>
        <v/>
      </c>
      <c r="R85" s="73" t="str">
        <f t="shared" ref="R85" si="347">IF(Q83="APPROVED","",E82)</f>
        <v/>
      </c>
      <c r="S85" s="65" t="str">
        <f t="shared" ref="S85" si="348">IF(U81="","",NETWORKDAYS(S84,U81))</f>
        <v/>
      </c>
      <c r="T85" s="67" t="str">
        <f t="shared" ref="T85" si="349">IF(AND(NOT(ISBLANK(S84)),ISBLANK(U81)),E83,"")</f>
        <v/>
      </c>
      <c r="U85" s="76"/>
      <c r="V85" s="77" t="str">
        <f>IF(AND(NOT(ISBLANK(U84)),ISBLANK(U85)),#REF!,"")</f>
        <v/>
      </c>
      <c r="W85" s="58"/>
      <c r="X85" s="58"/>
      <c r="Y85" s="58"/>
      <c r="Z85" s="58"/>
      <c r="AA85" s="58"/>
      <c r="AD85" s="13"/>
      <c r="AF85" s="12"/>
      <c r="AJ85" s="13"/>
      <c r="AL85" s="12"/>
    </row>
    <row r="86" spans="1:38" s="11" customFormat="1" ht="15" customHeight="1" x14ac:dyDescent="0.3">
      <c r="A86" s="36" t="str">
        <f t="shared" ref="A86:B86" si="350">_xlfn.CONCAT(G86)</f>
        <v/>
      </c>
      <c r="B86" s="37" t="str">
        <f t="shared" si="350"/>
        <v/>
      </c>
      <c r="C86" s="38">
        <f t="shared" ref="C86" ca="1" si="351">IF(ISBLANK(K91),NETWORKDAYS(K88,$W$10),"")</f>
        <v>31831</v>
      </c>
      <c r="D86" s="72" t="str">
        <f t="shared" ref="D86" ca="1" si="352">IFERROR(LOOKUP($W$10,K91:V91,K90:V90),"")</f>
        <v/>
      </c>
      <c r="E86" s="72" t="str">
        <f t="shared" ref="E86" si="353">IF(AND(NOT(ISBLANK(K91)),ISBLANK(M88)),NETWORKDAYS(K91,$W$10),"")</f>
        <v/>
      </c>
      <c r="F86" s="130">
        <v>11</v>
      </c>
      <c r="G86" s="127"/>
      <c r="H86" s="124"/>
      <c r="I86" s="127"/>
      <c r="J86" s="63" t="s">
        <v>16</v>
      </c>
      <c r="K86" s="55"/>
      <c r="L86" s="49"/>
      <c r="M86" s="55"/>
      <c r="N86" s="49"/>
      <c r="O86" s="55"/>
      <c r="P86" s="49"/>
      <c r="Q86" s="55"/>
      <c r="R86" s="49"/>
      <c r="S86" s="55"/>
      <c r="T86" s="49"/>
      <c r="U86" s="55"/>
      <c r="V86" s="49"/>
      <c r="W86" s="80"/>
      <c r="X86" s="80"/>
      <c r="Y86" s="80"/>
      <c r="Z86" s="80"/>
      <c r="AA86" s="85" t="str">
        <f t="shared" ref="AA86" si="354">L92</f>
        <v/>
      </c>
      <c r="AD86" s="13"/>
      <c r="AF86" s="12"/>
      <c r="AJ86" s="13"/>
      <c r="AL86" s="12"/>
    </row>
    <row r="87" spans="1:38" s="11" customFormat="1" ht="15" customHeight="1" x14ac:dyDescent="0.3">
      <c r="A87" s="39" t="str">
        <f t="shared" ref="A87:B98" si="355">A86</f>
        <v/>
      </c>
      <c r="B87" s="21" t="str">
        <f t="shared" si="355"/>
        <v/>
      </c>
      <c r="C87" s="22">
        <f t="shared" ref="C87" ca="1" si="356">IF(ISBLANK(M91),NETWORKDAYS(M88,$W$10),"")</f>
        <v>31831</v>
      </c>
      <c r="D87" s="40"/>
      <c r="E87" s="78" t="str">
        <f t="shared" ref="E87" si="357">IF(AND(NOT(ISBLANK(M91)),ISBLANK(O88)),NETWORKDAYS(M91,$W$10),"")</f>
        <v/>
      </c>
      <c r="F87" s="131"/>
      <c r="G87" s="128"/>
      <c r="H87" s="125"/>
      <c r="I87" s="128"/>
      <c r="J87" s="63" t="s">
        <v>17</v>
      </c>
      <c r="K87" s="55"/>
      <c r="L87" s="49"/>
      <c r="M87" s="55"/>
      <c r="N87" s="49"/>
      <c r="O87" s="55"/>
      <c r="P87" s="49"/>
      <c r="Q87" s="55"/>
      <c r="R87" s="49"/>
      <c r="S87" s="55"/>
      <c r="T87" s="49"/>
      <c r="U87" s="55"/>
      <c r="V87" s="49"/>
      <c r="W87" s="123" t="str">
        <f t="shared" ref="W87" ca="1" si="358">IF(D86="APPROVED",1,"")</f>
        <v/>
      </c>
      <c r="X87" s="122" t="str">
        <f t="shared" ref="X87" ca="1" si="359">IF(D86="APPROVED WITH COMMENT",1,"")</f>
        <v/>
      </c>
      <c r="Y87" s="122" t="str">
        <f t="shared" ref="Y87" ca="1" si="360">IF(D86="NOT APPROVED",1,"")</f>
        <v/>
      </c>
      <c r="Z87" s="122" t="str">
        <f t="shared" ref="Z87" ca="1" si="361">IF(D86="INFORMATION",1,"")</f>
        <v/>
      </c>
      <c r="AA87" s="99" t="str">
        <f t="shared" ref="AA87" si="362">N92</f>
        <v/>
      </c>
      <c r="AD87" s="13"/>
      <c r="AF87" s="12"/>
      <c r="AJ87" s="13"/>
      <c r="AL87" s="12"/>
    </row>
    <row r="88" spans="1:38" s="11" customFormat="1" ht="15" customHeight="1" x14ac:dyDescent="0.3">
      <c r="A88" s="39" t="str">
        <f t="shared" si="355"/>
        <v/>
      </c>
      <c r="B88" s="21" t="str">
        <f t="shared" si="355"/>
        <v/>
      </c>
      <c r="C88" s="22">
        <f t="shared" ref="C88" ca="1" si="363">IF(ISBLANK(O91),NETWORKDAYS(O88,$W$10),"")</f>
        <v>31831</v>
      </c>
      <c r="D88" s="40"/>
      <c r="E88" s="78" t="str">
        <f t="shared" ref="E88" si="364">IF(AND(NOT(ISBLANK(O91)),ISBLANK(Q88)),NETWORKDAYS(O91,$W$10),"")</f>
        <v/>
      </c>
      <c r="F88" s="131"/>
      <c r="G88" s="128"/>
      <c r="H88" s="125"/>
      <c r="I88" s="128"/>
      <c r="J88" s="63" t="s">
        <v>18</v>
      </c>
      <c r="K88" s="53"/>
      <c r="L88" s="45" t="str">
        <f t="shared" ref="L88" si="365">IF(AND(K88="",K91=""),"",C86)</f>
        <v/>
      </c>
      <c r="M88" s="53"/>
      <c r="N88" s="45" t="str">
        <f t="shared" ref="N88" si="366">IF(AND(M88="",M91=""),"",C87)</f>
        <v/>
      </c>
      <c r="O88" s="53"/>
      <c r="P88" s="45" t="str">
        <f t="shared" ref="P88" si="367">IF(AND(O88="",O91=""),"",C88)</f>
        <v/>
      </c>
      <c r="Q88" s="53"/>
      <c r="R88" s="45" t="str">
        <f t="shared" ref="R88" si="368">IF(AND(Q88="",Q91=""),"",C89)</f>
        <v/>
      </c>
      <c r="S88" s="53"/>
      <c r="T88" s="45" t="str">
        <f t="shared" ref="T88" si="369">IF(AND(S88="",S91=""),"",C90)</f>
        <v/>
      </c>
      <c r="U88" s="53"/>
      <c r="V88" s="45" t="str">
        <f t="shared" ref="V88" si="370">IF(AND(U88="",U91=""),"",C91)</f>
        <v/>
      </c>
      <c r="W88" s="123"/>
      <c r="X88" s="122"/>
      <c r="Y88" s="122"/>
      <c r="Z88" s="122"/>
      <c r="AA88" s="99" t="str">
        <f t="shared" ref="AA88" si="371">P92</f>
        <v/>
      </c>
      <c r="AD88" s="13"/>
      <c r="AF88" s="12"/>
      <c r="AJ88" s="13"/>
      <c r="AL88" s="12"/>
    </row>
    <row r="89" spans="1:38" s="11" customFormat="1" ht="15" customHeight="1" x14ac:dyDescent="0.3">
      <c r="A89" s="39" t="str">
        <f t="shared" si="355"/>
        <v/>
      </c>
      <c r="B89" s="21" t="str">
        <f t="shared" si="355"/>
        <v/>
      </c>
      <c r="C89" s="22">
        <f t="shared" ref="C89" ca="1" si="372">IF(ISBLANK(Q91),NETWORKDAYS(Q88,$W$10),"")</f>
        <v>31831</v>
      </c>
      <c r="D89" s="40"/>
      <c r="E89" s="78" t="str">
        <f t="shared" ref="E89" si="373">IF(AND(NOT(ISBLANK(Q91)),ISBLANK(S88)),NETWORKDAYS(Q91,$W$10),"")</f>
        <v/>
      </c>
      <c r="F89" s="131"/>
      <c r="G89" s="128"/>
      <c r="H89" s="125"/>
      <c r="I89" s="128"/>
      <c r="J89" s="63" t="s">
        <v>19</v>
      </c>
      <c r="K89" s="70"/>
      <c r="L89" s="49"/>
      <c r="M89" s="70"/>
      <c r="N89" s="49"/>
      <c r="O89" s="70"/>
      <c r="P89" s="49"/>
      <c r="Q89" s="70"/>
      <c r="R89" s="49"/>
      <c r="S89" s="70"/>
      <c r="T89" s="49"/>
      <c r="U89" s="70"/>
      <c r="V89" s="49"/>
      <c r="W89" s="123"/>
      <c r="X89" s="122"/>
      <c r="Y89" s="122"/>
      <c r="Z89" s="122"/>
      <c r="AA89" s="99" t="str">
        <f t="shared" ref="AA89" si="374">R92</f>
        <v/>
      </c>
      <c r="AD89" s="13"/>
      <c r="AF89" s="12"/>
      <c r="AJ89" s="13"/>
      <c r="AL89" s="12"/>
    </row>
    <row r="90" spans="1:38" s="11" customFormat="1" ht="15" customHeight="1" x14ac:dyDescent="0.3">
      <c r="A90" s="39" t="str">
        <f t="shared" si="355"/>
        <v/>
      </c>
      <c r="B90" s="21" t="str">
        <f t="shared" si="355"/>
        <v/>
      </c>
      <c r="C90" s="22">
        <f t="shared" ref="C90" ca="1" si="375">IF(ISBLANK(S91),NETWORKDAYS(S88,$W$10),"")</f>
        <v>31831</v>
      </c>
      <c r="D90" s="40"/>
      <c r="E90" s="78" t="str">
        <f t="shared" ref="E90" si="376">IF(AND(NOT(ISBLANK(S91)),ISBLANK(U88)),NETWORKDAYS(S91,$W$10),"")</f>
        <v/>
      </c>
      <c r="F90" s="131"/>
      <c r="G90" s="128"/>
      <c r="H90" s="125"/>
      <c r="I90" s="128"/>
      <c r="J90" s="64" t="s">
        <v>20</v>
      </c>
      <c r="K90" s="70"/>
      <c r="L90" s="49"/>
      <c r="M90" s="70"/>
      <c r="N90" s="49"/>
      <c r="O90" s="70"/>
      <c r="P90" s="49"/>
      <c r="Q90" s="70"/>
      <c r="R90" s="49"/>
      <c r="S90" s="70"/>
      <c r="T90" s="49"/>
      <c r="U90" s="70"/>
      <c r="V90" s="49"/>
      <c r="W90" s="123"/>
      <c r="X90" s="122"/>
      <c r="Y90" s="122"/>
      <c r="Z90" s="122"/>
      <c r="AA90" s="99" t="str">
        <f t="shared" ref="AA90" si="377">T92</f>
        <v/>
      </c>
      <c r="AD90" s="13"/>
      <c r="AF90" s="12"/>
      <c r="AJ90" s="13"/>
      <c r="AL90" s="12"/>
    </row>
    <row r="91" spans="1:38" s="11" customFormat="1" ht="15" customHeight="1" thickBot="1" x14ac:dyDescent="0.35">
      <c r="A91" s="41" t="str">
        <f t="shared" si="355"/>
        <v/>
      </c>
      <c r="B91" s="42" t="str">
        <f t="shared" si="355"/>
        <v/>
      </c>
      <c r="C91" s="43">
        <f t="shared" ref="C91" ca="1" si="378">IF(ISBLANK(U91),NETWORKDAYS(U88,$W$10),"")</f>
        <v>31831</v>
      </c>
      <c r="D91" s="44"/>
      <c r="E91" s="79"/>
      <c r="F91" s="131"/>
      <c r="G91" s="128"/>
      <c r="H91" s="125"/>
      <c r="I91" s="128"/>
      <c r="J91" s="63" t="s">
        <v>18</v>
      </c>
      <c r="K91" s="71"/>
      <c r="L91" s="45"/>
      <c r="M91" s="71"/>
      <c r="N91" s="45"/>
      <c r="O91" s="71"/>
      <c r="P91" s="45"/>
      <c r="Q91" s="71"/>
      <c r="R91" s="45"/>
      <c r="S91" s="71"/>
      <c r="T91" s="45"/>
      <c r="U91" s="68"/>
      <c r="V91" s="45"/>
      <c r="W91" s="123"/>
      <c r="X91" s="122"/>
      <c r="Y91" s="122"/>
      <c r="Z91" s="122"/>
      <c r="AA91" s="99"/>
      <c r="AD91" s="13"/>
      <c r="AF91" s="12"/>
      <c r="AJ91" s="13"/>
      <c r="AL91" s="12"/>
    </row>
    <row r="92" spans="1:38" s="11" customFormat="1" ht="15" customHeight="1" thickBot="1" x14ac:dyDescent="0.35">
      <c r="A92" s="39"/>
      <c r="B92" s="21"/>
      <c r="C92" s="22"/>
      <c r="D92" s="40"/>
      <c r="E92" s="22"/>
      <c r="F92" s="132"/>
      <c r="G92" s="129"/>
      <c r="H92" s="126"/>
      <c r="I92" s="129"/>
      <c r="J92" s="63" t="s">
        <v>53</v>
      </c>
      <c r="K92" s="66" t="str">
        <f t="shared" ref="K92" si="379">IF(NOT(ISBLANK(M88)),NETWORKDAYS(K91,M88),"")</f>
        <v/>
      </c>
      <c r="L92" s="73" t="str">
        <f t="shared" ref="L92" si="380">IF(K90="APPROVED","",E86)</f>
        <v/>
      </c>
      <c r="M92" s="66" t="str">
        <f t="shared" ref="M92" si="381">IF(NOT(ISBLANK(O88)),NETWORKDAYS(M91,O88),"")</f>
        <v/>
      </c>
      <c r="N92" s="73" t="str">
        <f t="shared" ref="N92" si="382">IF(M90="APPROVED","",E87)</f>
        <v/>
      </c>
      <c r="O92" s="66" t="str">
        <f t="shared" ref="O92" si="383">IF(NOT(ISBLANK(Q88)),NETWORKDAYS(O91,Q88),"")</f>
        <v/>
      </c>
      <c r="P92" s="73" t="str">
        <f t="shared" ref="P92" si="384">IF(O90="APPROVED","",E88)</f>
        <v/>
      </c>
      <c r="Q92" s="66" t="str">
        <f t="shared" ref="Q92" si="385">IF(NOT(ISBLANK(S88)),NETWORKDAYS(Q91,$W$10),"")</f>
        <v/>
      </c>
      <c r="R92" s="73" t="str">
        <f t="shared" ref="R92" si="386">IF(Q90="APPROVED","",E89)</f>
        <v/>
      </c>
      <c r="S92" s="65" t="str">
        <f t="shared" ref="S92" si="387">IF(U88="","",NETWORKDAYS(S91,U88))</f>
        <v/>
      </c>
      <c r="T92" s="67" t="str">
        <f t="shared" ref="T92" si="388">IF(AND(NOT(ISBLANK(S91)),ISBLANK(U88)),E90,"")</f>
        <v/>
      </c>
      <c r="U92" s="76"/>
      <c r="V92" s="77" t="str">
        <f>IF(AND(NOT(ISBLANK(U91)),ISBLANK(U92)),#REF!,"")</f>
        <v/>
      </c>
      <c r="W92" s="58"/>
      <c r="X92" s="58"/>
      <c r="Y92" s="58"/>
      <c r="Z92" s="58"/>
      <c r="AA92" s="58"/>
      <c r="AD92" s="13"/>
      <c r="AF92" s="12"/>
      <c r="AJ92" s="13"/>
      <c r="AL92" s="12"/>
    </row>
    <row r="93" spans="1:38" s="11" customFormat="1" ht="15" customHeight="1" x14ac:dyDescent="0.3">
      <c r="A93" s="36" t="str">
        <f t="shared" ref="A93:B93" si="389">_xlfn.CONCAT(G93)</f>
        <v/>
      </c>
      <c r="B93" s="37" t="str">
        <f t="shared" si="389"/>
        <v/>
      </c>
      <c r="C93" s="38">
        <f t="shared" ref="C93" ca="1" si="390">IF(ISBLANK(K98),NETWORKDAYS(K95,$W$10),"")</f>
        <v>31831</v>
      </c>
      <c r="D93" s="72" t="str">
        <f t="shared" ref="D93" ca="1" si="391">IFERROR(LOOKUP($W$10,K98:V98,K97:V97),"")</f>
        <v/>
      </c>
      <c r="E93" s="72" t="str">
        <f t="shared" ref="E93" si="392">IF(AND(NOT(ISBLANK(K98)),ISBLANK(M95)),NETWORKDAYS(K98,$W$10),"")</f>
        <v/>
      </c>
      <c r="F93" s="130">
        <v>12</v>
      </c>
      <c r="G93" s="127"/>
      <c r="H93" s="124"/>
      <c r="I93" s="127"/>
      <c r="J93" s="63" t="s">
        <v>16</v>
      </c>
      <c r="K93" s="55"/>
      <c r="L93" s="49"/>
      <c r="M93" s="55"/>
      <c r="N93" s="49"/>
      <c r="O93" s="55"/>
      <c r="P93" s="49"/>
      <c r="Q93" s="55"/>
      <c r="R93" s="49"/>
      <c r="S93" s="55"/>
      <c r="T93" s="49"/>
      <c r="U93" s="55"/>
      <c r="V93" s="49"/>
      <c r="W93" s="80"/>
      <c r="X93" s="80"/>
      <c r="Y93" s="80"/>
      <c r="Z93" s="80"/>
      <c r="AA93" s="85" t="str">
        <f t="shared" ref="AA93" si="393">L99</f>
        <v/>
      </c>
      <c r="AD93" s="13"/>
      <c r="AF93" s="12"/>
      <c r="AJ93" s="13"/>
      <c r="AL93" s="12"/>
    </row>
    <row r="94" spans="1:38" s="11" customFormat="1" ht="15" customHeight="1" x14ac:dyDescent="0.3">
      <c r="A94" s="39" t="str">
        <f t="shared" ref="A94:B94" si="394">A93</f>
        <v/>
      </c>
      <c r="B94" s="21" t="str">
        <f t="shared" si="394"/>
        <v/>
      </c>
      <c r="C94" s="22">
        <f t="shared" ref="C94" ca="1" si="395">IF(ISBLANK(M98),NETWORKDAYS(M95,$W$10),"")</f>
        <v>31831</v>
      </c>
      <c r="D94" s="40"/>
      <c r="E94" s="78" t="str">
        <f t="shared" ref="E94" si="396">IF(AND(NOT(ISBLANK(M98)),ISBLANK(O95)),NETWORKDAYS(M98,$W$10),"")</f>
        <v/>
      </c>
      <c r="F94" s="131"/>
      <c r="G94" s="128"/>
      <c r="H94" s="125"/>
      <c r="I94" s="128"/>
      <c r="J94" s="63" t="s">
        <v>17</v>
      </c>
      <c r="K94" s="55"/>
      <c r="L94" s="49"/>
      <c r="M94" s="55"/>
      <c r="N94" s="49"/>
      <c r="O94" s="55"/>
      <c r="P94" s="49"/>
      <c r="Q94" s="55"/>
      <c r="R94" s="49"/>
      <c r="S94" s="55"/>
      <c r="T94" s="49"/>
      <c r="U94" s="55"/>
      <c r="V94" s="49"/>
      <c r="W94" s="123" t="str">
        <f t="shared" ref="W94" ca="1" si="397">IF(D93="APPROVED",1,"")</f>
        <v/>
      </c>
      <c r="X94" s="122" t="str">
        <f t="shared" ref="X94" ca="1" si="398">IF(D93="APPROVED WITH COMMENT",1,"")</f>
        <v/>
      </c>
      <c r="Y94" s="122" t="str">
        <f t="shared" ref="Y94" ca="1" si="399">IF(D93="NOT APPROVED",1,"")</f>
        <v/>
      </c>
      <c r="Z94" s="122" t="str">
        <f t="shared" ref="Z94" ca="1" si="400">IF(D93="INFORMATION",1,"")</f>
        <v/>
      </c>
      <c r="AA94" s="99" t="str">
        <f t="shared" ref="AA94" si="401">N99</f>
        <v/>
      </c>
      <c r="AD94" s="13"/>
      <c r="AF94" s="12"/>
      <c r="AJ94" s="13"/>
      <c r="AL94" s="12"/>
    </row>
    <row r="95" spans="1:38" s="11" customFormat="1" ht="15" customHeight="1" x14ac:dyDescent="0.3">
      <c r="A95" s="39" t="str">
        <f t="shared" si="355"/>
        <v/>
      </c>
      <c r="B95" s="21" t="str">
        <f t="shared" si="355"/>
        <v/>
      </c>
      <c r="C95" s="22">
        <f t="shared" ref="C95" ca="1" si="402">IF(ISBLANK(O98),NETWORKDAYS(O95,$W$10),"")</f>
        <v>31831</v>
      </c>
      <c r="D95" s="40"/>
      <c r="E95" s="78" t="str">
        <f t="shared" ref="E95" si="403">IF(AND(NOT(ISBLANK(O98)),ISBLANK(Q95)),NETWORKDAYS(O98,$W$10),"")</f>
        <v/>
      </c>
      <c r="F95" s="131"/>
      <c r="G95" s="128"/>
      <c r="H95" s="125"/>
      <c r="I95" s="128"/>
      <c r="J95" s="63" t="s">
        <v>18</v>
      </c>
      <c r="K95" s="53"/>
      <c r="L95" s="45" t="str">
        <f t="shared" ref="L95" si="404">IF(AND(K95="",K98=""),"",C93)</f>
        <v/>
      </c>
      <c r="M95" s="53"/>
      <c r="N95" s="45" t="str">
        <f t="shared" ref="N95" si="405">IF(AND(M95="",M98=""),"",C94)</f>
        <v/>
      </c>
      <c r="O95" s="53"/>
      <c r="P95" s="45" t="str">
        <f t="shared" ref="P95" si="406">IF(AND(O95="",O98=""),"",C95)</f>
        <v/>
      </c>
      <c r="Q95" s="53"/>
      <c r="R95" s="45" t="str">
        <f t="shared" ref="R95" si="407">IF(AND(Q95="",Q98=""),"",C96)</f>
        <v/>
      </c>
      <c r="S95" s="53"/>
      <c r="T95" s="45" t="str">
        <f t="shared" ref="T95" si="408">IF(AND(S95="",S98=""),"",C97)</f>
        <v/>
      </c>
      <c r="U95" s="53"/>
      <c r="V95" s="45" t="str">
        <f t="shared" ref="V95" si="409">IF(AND(U95="",U98=""),"",C98)</f>
        <v/>
      </c>
      <c r="W95" s="123"/>
      <c r="X95" s="122"/>
      <c r="Y95" s="122"/>
      <c r="Z95" s="122"/>
      <c r="AA95" s="99" t="str">
        <f t="shared" ref="AA95" si="410">P99</f>
        <v/>
      </c>
      <c r="AD95" s="13"/>
      <c r="AF95" s="12"/>
      <c r="AJ95" s="13"/>
      <c r="AL95" s="12"/>
    </row>
    <row r="96" spans="1:38" s="11" customFormat="1" ht="15" customHeight="1" x14ac:dyDescent="0.3">
      <c r="A96" s="39" t="str">
        <f t="shared" si="355"/>
        <v/>
      </c>
      <c r="B96" s="21" t="str">
        <f t="shared" si="355"/>
        <v/>
      </c>
      <c r="C96" s="22">
        <f t="shared" ref="C96" ca="1" si="411">IF(ISBLANK(Q98),NETWORKDAYS(Q95,$W$10),"")</f>
        <v>31831</v>
      </c>
      <c r="D96" s="40"/>
      <c r="E96" s="78" t="str">
        <f t="shared" ref="E96" si="412">IF(AND(NOT(ISBLANK(Q98)),ISBLANK(S95)),NETWORKDAYS(Q98,$W$10),"")</f>
        <v/>
      </c>
      <c r="F96" s="131"/>
      <c r="G96" s="128"/>
      <c r="H96" s="125"/>
      <c r="I96" s="128"/>
      <c r="J96" s="63" t="s">
        <v>19</v>
      </c>
      <c r="K96" s="70"/>
      <c r="L96" s="49"/>
      <c r="M96" s="70"/>
      <c r="N96" s="49"/>
      <c r="O96" s="70"/>
      <c r="P96" s="49"/>
      <c r="Q96" s="70"/>
      <c r="R96" s="49"/>
      <c r="S96" s="70"/>
      <c r="T96" s="49"/>
      <c r="U96" s="70"/>
      <c r="V96" s="49"/>
      <c r="W96" s="123"/>
      <c r="X96" s="122"/>
      <c r="Y96" s="122"/>
      <c r="Z96" s="122"/>
      <c r="AA96" s="99" t="str">
        <f t="shared" ref="AA96" si="413">R99</f>
        <v/>
      </c>
      <c r="AD96" s="13"/>
      <c r="AF96" s="12"/>
      <c r="AJ96" s="13"/>
      <c r="AL96" s="12"/>
    </row>
    <row r="97" spans="1:38" s="11" customFormat="1" ht="15" customHeight="1" x14ac:dyDescent="0.3">
      <c r="A97" s="39" t="str">
        <f t="shared" si="355"/>
        <v/>
      </c>
      <c r="B97" s="21" t="str">
        <f t="shared" si="355"/>
        <v/>
      </c>
      <c r="C97" s="22">
        <f t="shared" ref="C97" ca="1" si="414">IF(ISBLANK(S98),NETWORKDAYS(S95,$W$10),"")</f>
        <v>31831</v>
      </c>
      <c r="D97" s="40"/>
      <c r="E97" s="78" t="str">
        <f t="shared" ref="E97" si="415">IF(AND(NOT(ISBLANK(S98)),ISBLANK(U95)),NETWORKDAYS(S98,$W$10),"")</f>
        <v/>
      </c>
      <c r="F97" s="131"/>
      <c r="G97" s="128"/>
      <c r="H97" s="125"/>
      <c r="I97" s="128"/>
      <c r="J97" s="64" t="s">
        <v>20</v>
      </c>
      <c r="K97" s="70"/>
      <c r="L97" s="49"/>
      <c r="M97" s="70"/>
      <c r="N97" s="49"/>
      <c r="O97" s="70"/>
      <c r="P97" s="49"/>
      <c r="Q97" s="70"/>
      <c r="R97" s="49"/>
      <c r="S97" s="70"/>
      <c r="T97" s="49"/>
      <c r="U97" s="70"/>
      <c r="V97" s="49"/>
      <c r="W97" s="123"/>
      <c r="X97" s="122"/>
      <c r="Y97" s="122"/>
      <c r="Z97" s="122"/>
      <c r="AA97" s="99" t="str">
        <f t="shared" ref="AA97" si="416">T99</f>
        <v/>
      </c>
      <c r="AD97" s="13"/>
      <c r="AF97" s="12"/>
      <c r="AJ97" s="13"/>
      <c r="AL97" s="12"/>
    </row>
    <row r="98" spans="1:38" s="11" customFormat="1" ht="15" customHeight="1" thickBot="1" x14ac:dyDescent="0.35">
      <c r="A98" s="41" t="str">
        <f t="shared" si="355"/>
        <v/>
      </c>
      <c r="B98" s="42" t="str">
        <f t="shared" si="355"/>
        <v/>
      </c>
      <c r="C98" s="43">
        <f t="shared" ref="C98" ca="1" si="417">IF(ISBLANK(U98),NETWORKDAYS(U95,$W$10),"")</f>
        <v>31831</v>
      </c>
      <c r="D98" s="44"/>
      <c r="E98" s="79"/>
      <c r="F98" s="131"/>
      <c r="G98" s="128"/>
      <c r="H98" s="125"/>
      <c r="I98" s="128"/>
      <c r="J98" s="63" t="s">
        <v>18</v>
      </c>
      <c r="K98" s="71"/>
      <c r="L98" s="45"/>
      <c r="M98" s="71"/>
      <c r="N98" s="45"/>
      <c r="O98" s="71"/>
      <c r="P98" s="45"/>
      <c r="Q98" s="71"/>
      <c r="R98" s="45"/>
      <c r="S98" s="71"/>
      <c r="T98" s="45"/>
      <c r="U98" s="68"/>
      <c r="V98" s="45"/>
      <c r="W98" s="123"/>
      <c r="X98" s="122"/>
      <c r="Y98" s="122"/>
      <c r="Z98" s="122"/>
      <c r="AA98" s="99"/>
      <c r="AD98" s="13"/>
      <c r="AF98" s="12"/>
      <c r="AJ98" s="13"/>
      <c r="AL98" s="12"/>
    </row>
    <row r="99" spans="1:38" s="11" customFormat="1" ht="15" customHeight="1" thickBot="1" x14ac:dyDescent="0.35">
      <c r="A99" s="39"/>
      <c r="B99" s="21"/>
      <c r="C99" s="22"/>
      <c r="D99" s="40"/>
      <c r="E99" s="22"/>
      <c r="F99" s="132"/>
      <c r="G99" s="129"/>
      <c r="H99" s="126"/>
      <c r="I99" s="129"/>
      <c r="J99" s="63" t="s">
        <v>53</v>
      </c>
      <c r="K99" s="66" t="str">
        <f t="shared" ref="K99" si="418">IF(NOT(ISBLANK(M95)),NETWORKDAYS(K98,M95),"")</f>
        <v/>
      </c>
      <c r="L99" s="73" t="str">
        <f t="shared" ref="L99" si="419">IF(K97="APPROVED","",E93)</f>
        <v/>
      </c>
      <c r="M99" s="66" t="str">
        <f t="shared" ref="M99" si="420">IF(NOT(ISBLANK(O95)),NETWORKDAYS(M98,O95),"")</f>
        <v/>
      </c>
      <c r="N99" s="73" t="str">
        <f t="shared" ref="N99" si="421">IF(M97="APPROVED","",E94)</f>
        <v/>
      </c>
      <c r="O99" s="66" t="str">
        <f t="shared" ref="O99" si="422">IF(NOT(ISBLANK(Q95)),NETWORKDAYS(O98,Q95),"")</f>
        <v/>
      </c>
      <c r="P99" s="73" t="str">
        <f t="shared" ref="P99" si="423">IF(O97="APPROVED","",E95)</f>
        <v/>
      </c>
      <c r="Q99" s="66" t="str">
        <f t="shared" ref="Q99" si="424">IF(NOT(ISBLANK(S95)),NETWORKDAYS(Q98,$W$10),"")</f>
        <v/>
      </c>
      <c r="R99" s="73" t="str">
        <f t="shared" ref="R99" si="425">IF(Q97="APPROVED","",E96)</f>
        <v/>
      </c>
      <c r="S99" s="65" t="str">
        <f t="shared" ref="S99" si="426">IF(U95="","",NETWORKDAYS(S98,U95))</f>
        <v/>
      </c>
      <c r="T99" s="67" t="str">
        <f t="shared" ref="T99" si="427">IF(AND(NOT(ISBLANK(S98)),ISBLANK(U95)),E97,"")</f>
        <v/>
      </c>
      <c r="U99" s="76"/>
      <c r="V99" s="77" t="str">
        <f>IF(AND(NOT(ISBLANK(U98)),ISBLANK(U99)),#REF!,"")</f>
        <v/>
      </c>
      <c r="W99" s="58"/>
      <c r="X99" s="58"/>
      <c r="Y99" s="58"/>
      <c r="Z99" s="58"/>
      <c r="AA99" s="58"/>
      <c r="AD99" s="13"/>
      <c r="AF99" s="12"/>
      <c r="AJ99" s="13"/>
      <c r="AL99" s="12"/>
    </row>
    <row r="100" spans="1:38" ht="15.75" thickBot="1" x14ac:dyDescent="0.3">
      <c r="L100" s="46">
        <f ca="1">COUNTIF(L16:L34,)</f>
        <v>0</v>
      </c>
      <c r="U100" s="163"/>
      <c r="V100" s="164"/>
      <c r="W100" s="26">
        <f ca="1">COUNT(W16:W98)</f>
        <v>1</v>
      </c>
      <c r="X100" s="26">
        <f ca="1">COUNT(X16:X98)</f>
        <v>2</v>
      </c>
      <c r="Y100" s="27">
        <f ca="1">COUNT(Y16:Y98)</f>
        <v>2</v>
      </c>
      <c r="Z100" s="27">
        <f ca="1">COUNT(Z16:Z98)</f>
        <v>0</v>
      </c>
      <c r="AA100" s="27">
        <f ca="1">COUNT(AA16:AA98)</f>
        <v>2</v>
      </c>
    </row>
  </sheetData>
  <autoFilter ref="AA15:AA99"/>
  <mergeCells count="118">
    <mergeCell ref="AA12:AA14"/>
    <mergeCell ref="W12:Z14"/>
    <mergeCell ref="K13:L13"/>
    <mergeCell ref="M13:N13"/>
    <mergeCell ref="U13:V13"/>
    <mergeCell ref="K14:L14"/>
    <mergeCell ref="F3:P3"/>
    <mergeCell ref="F5:G5"/>
    <mergeCell ref="F6:G6"/>
    <mergeCell ref="F7:G7"/>
    <mergeCell ref="F8:G8"/>
    <mergeCell ref="F9:G9"/>
    <mergeCell ref="M14:N14"/>
    <mergeCell ref="W10:X10"/>
    <mergeCell ref="K15:L15"/>
    <mergeCell ref="M15:N15"/>
    <mergeCell ref="F16:F22"/>
    <mergeCell ref="G16:G22"/>
    <mergeCell ref="H16:H22"/>
    <mergeCell ref="I16:I22"/>
    <mergeCell ref="F12:F13"/>
    <mergeCell ref="G12:G13"/>
    <mergeCell ref="H12:H13"/>
    <mergeCell ref="I12:I13"/>
    <mergeCell ref="J12:V12"/>
    <mergeCell ref="F23:F29"/>
    <mergeCell ref="G23:G29"/>
    <mergeCell ref="H23:H29"/>
    <mergeCell ref="I23:I29"/>
    <mergeCell ref="W17:W21"/>
    <mergeCell ref="X17:X21"/>
    <mergeCell ref="Y17:Y21"/>
    <mergeCell ref="Z17:Z21"/>
    <mergeCell ref="W24:W28"/>
    <mergeCell ref="X24:X28"/>
    <mergeCell ref="Y24:Y28"/>
    <mergeCell ref="Z24:Z28"/>
    <mergeCell ref="F37:F43"/>
    <mergeCell ref="G37:G43"/>
    <mergeCell ref="H37:H43"/>
    <mergeCell ref="I37:I43"/>
    <mergeCell ref="W45:W49"/>
    <mergeCell ref="X45:X49"/>
    <mergeCell ref="Y45:Y49"/>
    <mergeCell ref="Z45:Z49"/>
    <mergeCell ref="F30:F36"/>
    <mergeCell ref="G30:G36"/>
    <mergeCell ref="H30:H36"/>
    <mergeCell ref="I30:I36"/>
    <mergeCell ref="W31:W35"/>
    <mergeCell ref="X31:X35"/>
    <mergeCell ref="Y31:Y35"/>
    <mergeCell ref="Z31:Z35"/>
    <mergeCell ref="W38:W42"/>
    <mergeCell ref="X38:X42"/>
    <mergeCell ref="Y38:Y42"/>
    <mergeCell ref="Z38:Z42"/>
    <mergeCell ref="X52:X56"/>
    <mergeCell ref="Y52:Y56"/>
    <mergeCell ref="Z52:Z56"/>
    <mergeCell ref="W59:W63"/>
    <mergeCell ref="X59:X63"/>
    <mergeCell ref="Y59:Y63"/>
    <mergeCell ref="Z59:Z63"/>
    <mergeCell ref="F44:F50"/>
    <mergeCell ref="G44:G50"/>
    <mergeCell ref="H44:H50"/>
    <mergeCell ref="I44:I50"/>
    <mergeCell ref="F58:F64"/>
    <mergeCell ref="G58:G64"/>
    <mergeCell ref="H58:H64"/>
    <mergeCell ref="I58:I64"/>
    <mergeCell ref="F51:F57"/>
    <mergeCell ref="G51:G57"/>
    <mergeCell ref="H51:H57"/>
    <mergeCell ref="I51:I57"/>
    <mergeCell ref="W52:W56"/>
    <mergeCell ref="F65:F71"/>
    <mergeCell ref="G65:G71"/>
    <mergeCell ref="H65:H71"/>
    <mergeCell ref="I65:I71"/>
    <mergeCell ref="W66:W70"/>
    <mergeCell ref="X66:X70"/>
    <mergeCell ref="Y66:Y70"/>
    <mergeCell ref="Z66:Z70"/>
    <mergeCell ref="W73:W77"/>
    <mergeCell ref="X73:X77"/>
    <mergeCell ref="Y73:Y77"/>
    <mergeCell ref="Z73:Z77"/>
    <mergeCell ref="X80:X84"/>
    <mergeCell ref="Y80:Y84"/>
    <mergeCell ref="Z80:Z84"/>
    <mergeCell ref="W87:W91"/>
    <mergeCell ref="X87:X91"/>
    <mergeCell ref="Y87:Y91"/>
    <mergeCell ref="Z87:Z91"/>
    <mergeCell ref="F72:F78"/>
    <mergeCell ref="G72:G78"/>
    <mergeCell ref="H72:H78"/>
    <mergeCell ref="I72:I78"/>
    <mergeCell ref="F86:F92"/>
    <mergeCell ref="G86:G92"/>
    <mergeCell ref="H86:H92"/>
    <mergeCell ref="I86:I92"/>
    <mergeCell ref="F79:F85"/>
    <mergeCell ref="G79:G85"/>
    <mergeCell ref="H79:H85"/>
    <mergeCell ref="I79:I85"/>
    <mergeCell ref="W80:W84"/>
    <mergeCell ref="U100:V100"/>
    <mergeCell ref="F93:F99"/>
    <mergeCell ref="G93:G99"/>
    <mergeCell ref="H93:H99"/>
    <mergeCell ref="I93:I99"/>
    <mergeCell ref="W94:W98"/>
    <mergeCell ref="X94:X98"/>
    <mergeCell ref="Y94:Y98"/>
    <mergeCell ref="Z94:Z98"/>
  </mergeCells>
  <conditionalFormatting sqref="T18 L18 N18 P18 R18 V18 T25 T32 T39 T46 T53 T60 T67 T74 T81 T88 T95 L25 L32 L39 L46 L53 L60 L67 L74 L81 L88 L95 N25 N32 N39 N46 N53 N60 N67 N74 N81 N88 N95 P25 P32 P39 P46 P53 P60 P67 P74 P81 P88 P95 R25 R32 R39 R46 R53 R60 R67 R74 R81 R88 R95 V25 V32 V39 V46 V53 V60 V67 V74 V81 V88 V95">
    <cfRule type="iconSet" priority="5">
      <iconSet reverse="1">
        <cfvo type="percent" val="0"/>
        <cfvo type="num" val="7"/>
        <cfvo type="num" val="7"/>
      </iconSet>
    </cfRule>
  </conditionalFormatting>
  <pageMargins left="0.7" right="0.7" top="0.75" bottom="0.75" header="0.3" footer="0.3"/>
  <pageSetup paperSize="9" scale="84"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iconSet" priority="4" id="{11563AA4-06C8-4180-A557-DD65947993D7}">
            <x14:iconSet custom="1">
              <x14:cfvo type="percent">
                <xm:f>0</xm:f>
              </x14:cfvo>
              <x14:cfvo type="num" gte="0">
                <xm:f>3</xm:f>
              </x14:cfvo>
              <x14:cfvo type="num" gte="0">
                <xm:f>7</xm:f>
              </x14:cfvo>
              <x14:cfIcon iconSet="3TrafficLights1" iconId="2"/>
              <x14:cfIcon iconSet="3TrafficLights1" iconId="1"/>
              <x14:cfIcon iconSet="3TrafficLights1" iconId="0"/>
            </x14:iconSet>
          </x14:cfRule>
          <xm:sqref>T22 L7 V22 T29 T36 T43 T50 T57 T64 T71 T78 T85 T92 T99 V29 V36 V43 V50 V57 V64 V71 V78 V85 V92 V99</xm:sqref>
        </x14:conditionalFormatting>
        <x14:conditionalFormatting xmlns:xm="http://schemas.microsoft.com/office/excel/2006/main">
          <x14:cfRule type="iconSet" priority="3" id="{0CDBB547-63FC-459B-931B-B1793D0C3943}">
            <x14:iconSet custom="1">
              <x14:cfvo type="percent">
                <xm:f>0</xm:f>
              </x14:cfvo>
              <x14:cfvo type="num" gte="0">
                <xm:f>3</xm:f>
              </x14:cfvo>
              <x14:cfvo type="num" gte="0">
                <xm:f>7</xm:f>
              </x14:cfvo>
              <x14:cfIcon iconSet="3TrafficLights1" iconId="2"/>
              <x14:cfIcon iconSet="3TrafficLights1" iconId="1"/>
              <x14:cfIcon iconSet="3TrafficLights1" iconId="0"/>
            </x14:iconSet>
          </x14:cfRule>
          <xm:sqref>L22 L29 L36 L43 L50 L57 L64 L71 L78 L85 L92 L99</xm:sqref>
        </x14:conditionalFormatting>
        <x14:conditionalFormatting xmlns:xm="http://schemas.microsoft.com/office/excel/2006/main">
          <x14:cfRule type="iconSet" priority="2" id="{7F3A303A-E271-4C2B-B3A2-32C3210B949A}">
            <x14:iconSet custom="1">
              <x14:cfvo type="percent">
                <xm:f>0</xm:f>
              </x14:cfvo>
              <x14:cfvo type="num" gte="0">
                <xm:f>3</xm:f>
              </x14:cfvo>
              <x14:cfvo type="num" gte="0">
                <xm:f>7</xm:f>
              </x14:cfvo>
              <x14:cfIcon iconSet="3TrafficLights1" iconId="2"/>
              <x14:cfIcon iconSet="3TrafficLights1" iconId="1"/>
              <x14:cfIcon iconSet="3TrafficLights1" iconId="0"/>
            </x14:iconSet>
          </x14:cfRule>
          <xm:sqref>N22 P22 R22 N29 N36 N43 N50 N57 N64 N71 N78 N85 N92 N99 P29 P36 P43 P50 P57 P64 P71 P78 P85 P92 P99 R29 R36 R43 R50 R57 R64 R71 R78 R85 R92 R99</xm:sqref>
        </x14:conditionalFormatting>
        <x14:conditionalFormatting xmlns:xm="http://schemas.microsoft.com/office/excel/2006/main">
          <x14:cfRule type="iconSet" priority="1" id="{039DA884-F244-43A8-B05B-57FA692F0A66}">
            <x14:iconSet custom="1">
              <x14:cfvo type="percent">
                <xm:f>0</xm:f>
              </x14:cfvo>
              <x14:cfvo type="num">
                <xm:f>3</xm:f>
              </x14:cfvo>
              <x14:cfvo type="num">
                <xm:f>7</xm:f>
              </x14:cfvo>
              <x14:cfIcon iconSet="3TrafficLights1" iconId="2"/>
              <x14:cfIcon iconSet="3TrafficLights1" iconId="1"/>
              <x14:cfIcon iconSet="3TrafficLights1" iconId="0"/>
            </x14:iconSet>
          </x14:cfRule>
          <xm:sqref>AA16:AA99</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DBAD43F-CF4C-4B93-AF6A-B42494F5AEB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SUMMARY</vt:lpstr>
      <vt:lpstr>CIVIL</vt:lpstr>
      <vt:lpstr>MECHANICAL</vt:lpstr>
      <vt:lpstr>MECHANICAL!_26071_V29A_D_320_07_10002</vt:lpstr>
      <vt:lpstr>_26071_V29A_D_320_07_10002</vt:lpstr>
      <vt:lpstr>MECHANICAL!DOCUMENT_NO</vt:lpstr>
      <vt:lpstr>DOCUMENT_NO</vt:lpstr>
      <vt:lpstr>CIVIL!Print_Area</vt:lpstr>
      <vt:lpstr>MECHANICAL!Print_Area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Vicky Arrowansyah</dc:creator>
  <cp:lastModifiedBy>Docon Comment</cp:lastModifiedBy>
  <dcterms:created xsi:type="dcterms:W3CDTF">2020-07-27T04:44:08Z</dcterms:created>
  <dcterms:modified xsi:type="dcterms:W3CDTF">2022-01-03T13:57:37Z</dcterms:modified>
</cp:coreProperties>
</file>